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ggah\Desktop\Lonewolf\assets\images\"/>
    </mc:Choice>
  </mc:AlternateContent>
  <xr:revisionPtr revIDLastSave="0" documentId="13_ncr:1_{89758DA8-692B-454F-947B-F28ACD91936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lean Data" sheetId="3" r:id="rId1"/>
    <sheet name="Pivot - Monthly" sheetId="4" r:id="rId2"/>
    <sheet name="Pivot - Product" sheetId="5" r:id="rId3"/>
    <sheet name="Pivot - Sales Person" sheetId="6" r:id="rId4"/>
    <sheet name="Pivot - Location" sheetId="7" r:id="rId5"/>
    <sheet name="Dashboard" sheetId="1" r:id="rId6"/>
    <sheet name="Forecast" sheetId="8" r:id="rId7"/>
    <sheet name="Cleaning Log" sheetId="2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7" l="1"/>
  <c r="F10" i="7" s="1"/>
  <c r="C10" i="7"/>
  <c r="D9" i="7"/>
  <c r="F9" i="7" s="1"/>
  <c r="C9" i="7"/>
  <c r="D8" i="7"/>
  <c r="F8" i="7" s="1"/>
  <c r="C8" i="7"/>
  <c r="D7" i="7"/>
  <c r="F7" i="7" s="1"/>
  <c r="C7" i="7"/>
  <c r="D6" i="7"/>
  <c r="F6" i="7" s="1"/>
  <c r="C6" i="7"/>
  <c r="D5" i="7"/>
  <c r="D11" i="7" s="1"/>
  <c r="C5" i="7"/>
  <c r="C11" i="7" s="1"/>
  <c r="D9" i="6"/>
  <c r="D8" i="6"/>
  <c r="G8" i="6" s="1"/>
  <c r="C8" i="6"/>
  <c r="D7" i="6"/>
  <c r="C7" i="6"/>
  <c r="G7" i="6" s="1"/>
  <c r="D6" i="6"/>
  <c r="C6" i="6"/>
  <c r="G6" i="6" s="1"/>
  <c r="D5" i="6"/>
  <c r="G5" i="6" s="1"/>
  <c r="C5" i="6"/>
  <c r="C9" i="6" s="1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C15" i="5" s="1"/>
  <c r="E16" i="4"/>
  <c r="D16" i="4"/>
  <c r="D17" i="8" s="1"/>
  <c r="C16" i="4"/>
  <c r="H16" i="4" s="1"/>
  <c r="H15" i="4"/>
  <c r="E15" i="4"/>
  <c r="D15" i="4"/>
  <c r="D16" i="8" s="1"/>
  <c r="C15" i="4"/>
  <c r="E14" i="4"/>
  <c r="D14" i="4"/>
  <c r="H14" i="4" s="1"/>
  <c r="C14" i="4"/>
  <c r="E13" i="4"/>
  <c r="D13" i="4"/>
  <c r="D14" i="8" s="1"/>
  <c r="C13" i="4"/>
  <c r="E12" i="4"/>
  <c r="D12" i="4"/>
  <c r="D13" i="8" s="1"/>
  <c r="C12" i="4"/>
  <c r="E11" i="4"/>
  <c r="D11" i="4"/>
  <c r="D12" i="8" s="1"/>
  <c r="C11" i="4"/>
  <c r="H10" i="4"/>
  <c r="E10" i="4"/>
  <c r="D10" i="4"/>
  <c r="D11" i="8" s="1"/>
  <c r="C10" i="4"/>
  <c r="E9" i="4"/>
  <c r="D9" i="4"/>
  <c r="D10" i="8" s="1"/>
  <c r="C9" i="4"/>
  <c r="H9" i="4" s="1"/>
  <c r="E8" i="4"/>
  <c r="D8" i="4"/>
  <c r="D9" i="8" s="1"/>
  <c r="C8" i="4"/>
  <c r="H8" i="4" s="1"/>
  <c r="H7" i="4"/>
  <c r="E7" i="4"/>
  <c r="D7" i="4"/>
  <c r="D8" i="8" s="1"/>
  <c r="C7" i="4"/>
  <c r="E6" i="4"/>
  <c r="D6" i="4"/>
  <c r="H6" i="4" s="1"/>
  <c r="C6" i="4"/>
  <c r="E5" i="4"/>
  <c r="E17" i="4" s="1"/>
  <c r="D5" i="4"/>
  <c r="E16" i="8" s="1"/>
  <c r="C5" i="4"/>
  <c r="C17" i="4" s="1"/>
  <c r="H6" i="1" s="1"/>
  <c r="H172" i="3"/>
  <c r="I172" i="3" s="1"/>
  <c r="H171" i="3"/>
  <c r="I171" i="3" s="1"/>
  <c r="I170" i="3"/>
  <c r="H170" i="3"/>
  <c r="H169" i="3"/>
  <c r="I169" i="3" s="1"/>
  <c r="H168" i="3"/>
  <c r="I168" i="3" s="1"/>
  <c r="H167" i="3"/>
  <c r="I167" i="3" s="1"/>
  <c r="I166" i="3"/>
  <c r="H166" i="3"/>
  <c r="H165" i="3"/>
  <c r="I165" i="3" s="1"/>
  <c r="H164" i="3"/>
  <c r="I164" i="3" s="1"/>
  <c r="H163" i="3"/>
  <c r="I163" i="3" s="1"/>
  <c r="I162" i="3"/>
  <c r="H162" i="3"/>
  <c r="H161" i="3"/>
  <c r="I161" i="3" s="1"/>
  <c r="H160" i="3"/>
  <c r="I160" i="3" s="1"/>
  <c r="H159" i="3"/>
  <c r="F15" i="4" s="1"/>
  <c r="I15" i="4" s="1"/>
  <c r="I158" i="3"/>
  <c r="H158" i="3"/>
  <c r="H157" i="3"/>
  <c r="I157" i="3" s="1"/>
  <c r="H156" i="3"/>
  <c r="I156" i="3" s="1"/>
  <c r="H155" i="3"/>
  <c r="I155" i="3" s="1"/>
  <c r="I154" i="3"/>
  <c r="H154" i="3"/>
  <c r="H153" i="3"/>
  <c r="I153" i="3" s="1"/>
  <c r="H152" i="3"/>
  <c r="I152" i="3" s="1"/>
  <c r="H151" i="3"/>
  <c r="F14" i="4" s="1"/>
  <c r="I14" i="4" s="1"/>
  <c r="I150" i="3"/>
  <c r="H150" i="3"/>
  <c r="H149" i="3"/>
  <c r="I149" i="3" s="1"/>
  <c r="H148" i="3"/>
  <c r="I148" i="3" s="1"/>
  <c r="H147" i="3"/>
  <c r="I147" i="3" s="1"/>
  <c r="I146" i="3"/>
  <c r="H146" i="3"/>
  <c r="H145" i="3"/>
  <c r="I145" i="3" s="1"/>
  <c r="H144" i="3"/>
  <c r="I144" i="3" s="1"/>
  <c r="H143" i="3"/>
  <c r="F13" i="4" s="1"/>
  <c r="I13" i="4" s="1"/>
  <c r="I142" i="3"/>
  <c r="H142" i="3"/>
  <c r="H141" i="3"/>
  <c r="I141" i="3" s="1"/>
  <c r="H140" i="3"/>
  <c r="I140" i="3" s="1"/>
  <c r="H139" i="3"/>
  <c r="I139" i="3" s="1"/>
  <c r="I138" i="3"/>
  <c r="H138" i="3"/>
  <c r="H137" i="3"/>
  <c r="I137" i="3" s="1"/>
  <c r="H136" i="3"/>
  <c r="I136" i="3" s="1"/>
  <c r="H135" i="3"/>
  <c r="I135" i="3" s="1"/>
  <c r="I134" i="3"/>
  <c r="H134" i="3"/>
  <c r="H133" i="3"/>
  <c r="I133" i="3" s="1"/>
  <c r="H132" i="3"/>
  <c r="I132" i="3" s="1"/>
  <c r="H131" i="3"/>
  <c r="I131" i="3" s="1"/>
  <c r="I130" i="3"/>
  <c r="H130" i="3"/>
  <c r="H129" i="3"/>
  <c r="I129" i="3" s="1"/>
  <c r="H128" i="3"/>
  <c r="I128" i="3" s="1"/>
  <c r="H127" i="3"/>
  <c r="I127" i="3" s="1"/>
  <c r="I126" i="3"/>
  <c r="H126" i="3"/>
  <c r="F12" i="4" s="1"/>
  <c r="I12" i="4" s="1"/>
  <c r="H125" i="3"/>
  <c r="I125" i="3" s="1"/>
  <c r="H124" i="3"/>
  <c r="I124" i="3" s="1"/>
  <c r="H123" i="3"/>
  <c r="I123" i="3" s="1"/>
  <c r="I122" i="3"/>
  <c r="H122" i="3"/>
  <c r="H121" i="3"/>
  <c r="I121" i="3" s="1"/>
  <c r="H120" i="3"/>
  <c r="I120" i="3" s="1"/>
  <c r="H119" i="3"/>
  <c r="I119" i="3" s="1"/>
  <c r="I118" i="3"/>
  <c r="H118" i="3"/>
  <c r="H117" i="3"/>
  <c r="I117" i="3" s="1"/>
  <c r="H116" i="3"/>
  <c r="I116" i="3" s="1"/>
  <c r="H115" i="3"/>
  <c r="I115" i="3" s="1"/>
  <c r="I114" i="3"/>
  <c r="H114" i="3"/>
  <c r="H113" i="3"/>
  <c r="I113" i="3" s="1"/>
  <c r="H112" i="3"/>
  <c r="I112" i="3" s="1"/>
  <c r="H111" i="3"/>
  <c r="I111" i="3" s="1"/>
  <c r="I110" i="3"/>
  <c r="H110" i="3"/>
  <c r="H109" i="3"/>
  <c r="I109" i="3" s="1"/>
  <c r="H108" i="3"/>
  <c r="I108" i="3" s="1"/>
  <c r="H107" i="3"/>
  <c r="I107" i="3" s="1"/>
  <c r="I106" i="3"/>
  <c r="H106" i="3"/>
  <c r="H105" i="3"/>
  <c r="I105" i="3" s="1"/>
  <c r="H104" i="3"/>
  <c r="I104" i="3" s="1"/>
  <c r="H103" i="3"/>
  <c r="I103" i="3" s="1"/>
  <c r="I102" i="3"/>
  <c r="H102" i="3"/>
  <c r="H101" i="3"/>
  <c r="I101" i="3" s="1"/>
  <c r="H100" i="3"/>
  <c r="I100" i="3" s="1"/>
  <c r="G11" i="4" s="1"/>
  <c r="H99" i="3"/>
  <c r="I99" i="3" s="1"/>
  <c r="I98" i="3"/>
  <c r="H98" i="3"/>
  <c r="H97" i="3"/>
  <c r="I97" i="3" s="1"/>
  <c r="H96" i="3"/>
  <c r="I96" i="3" s="1"/>
  <c r="H95" i="3"/>
  <c r="I95" i="3" s="1"/>
  <c r="I94" i="3"/>
  <c r="H94" i="3"/>
  <c r="H93" i="3"/>
  <c r="I93" i="3" s="1"/>
  <c r="H92" i="3"/>
  <c r="I92" i="3" s="1"/>
  <c r="H91" i="3"/>
  <c r="I91" i="3" s="1"/>
  <c r="I90" i="3"/>
  <c r="H90" i="3"/>
  <c r="H89" i="3"/>
  <c r="I89" i="3" s="1"/>
  <c r="H88" i="3"/>
  <c r="I88" i="3" s="1"/>
  <c r="H87" i="3"/>
  <c r="I87" i="3" s="1"/>
  <c r="I86" i="3"/>
  <c r="H86" i="3"/>
  <c r="H85" i="3"/>
  <c r="I85" i="3" s="1"/>
  <c r="H84" i="3"/>
  <c r="I84" i="3" s="1"/>
  <c r="H83" i="3"/>
  <c r="I83" i="3" s="1"/>
  <c r="I82" i="3"/>
  <c r="H82" i="3"/>
  <c r="H81" i="3"/>
  <c r="I81" i="3" s="1"/>
  <c r="H80" i="3"/>
  <c r="I80" i="3" s="1"/>
  <c r="H79" i="3"/>
  <c r="I79" i="3" s="1"/>
  <c r="I78" i="3"/>
  <c r="H78" i="3"/>
  <c r="H77" i="3"/>
  <c r="I77" i="3" s="1"/>
  <c r="H76" i="3"/>
  <c r="I76" i="3" s="1"/>
  <c r="H75" i="3"/>
  <c r="I75" i="3" s="1"/>
  <c r="I74" i="3"/>
  <c r="H74" i="3"/>
  <c r="H73" i="3"/>
  <c r="I73" i="3" s="1"/>
  <c r="H72" i="3"/>
  <c r="I72" i="3" s="1"/>
  <c r="H71" i="3"/>
  <c r="I71" i="3" s="1"/>
  <c r="I70" i="3"/>
  <c r="H70" i="3"/>
  <c r="H69" i="3"/>
  <c r="I69" i="3" s="1"/>
  <c r="H68" i="3"/>
  <c r="I68" i="3" s="1"/>
  <c r="H67" i="3"/>
  <c r="I67" i="3" s="1"/>
  <c r="I66" i="3"/>
  <c r="H66" i="3"/>
  <c r="H65" i="3"/>
  <c r="I65" i="3" s="1"/>
  <c r="H64" i="3"/>
  <c r="I64" i="3" s="1"/>
  <c r="H63" i="3"/>
  <c r="I63" i="3" s="1"/>
  <c r="I62" i="3"/>
  <c r="H62" i="3"/>
  <c r="F9" i="4" s="1"/>
  <c r="I9" i="4" s="1"/>
  <c r="H61" i="3"/>
  <c r="I61" i="3" s="1"/>
  <c r="H60" i="3"/>
  <c r="I60" i="3" s="1"/>
  <c r="H59" i="3"/>
  <c r="I59" i="3" s="1"/>
  <c r="I58" i="3"/>
  <c r="H58" i="3"/>
  <c r="H57" i="3"/>
  <c r="I57" i="3" s="1"/>
  <c r="H56" i="3"/>
  <c r="I56" i="3" s="1"/>
  <c r="H55" i="3"/>
  <c r="I55" i="3" s="1"/>
  <c r="I54" i="3"/>
  <c r="H54" i="3"/>
  <c r="H53" i="3"/>
  <c r="F8" i="4" s="1"/>
  <c r="I8" i="4" s="1"/>
  <c r="H52" i="3"/>
  <c r="I52" i="3" s="1"/>
  <c r="H51" i="3"/>
  <c r="I51" i="3" s="1"/>
  <c r="I50" i="3"/>
  <c r="H50" i="3"/>
  <c r="H49" i="3"/>
  <c r="I49" i="3" s="1"/>
  <c r="H48" i="3"/>
  <c r="I48" i="3" s="1"/>
  <c r="H47" i="3"/>
  <c r="I47" i="3" s="1"/>
  <c r="I46" i="3"/>
  <c r="H46" i="3"/>
  <c r="H45" i="3"/>
  <c r="I45" i="3" s="1"/>
  <c r="H44" i="3"/>
  <c r="I44" i="3" s="1"/>
  <c r="H43" i="3"/>
  <c r="I43" i="3" s="1"/>
  <c r="I42" i="3"/>
  <c r="H42" i="3"/>
  <c r="H41" i="3"/>
  <c r="I41" i="3" s="1"/>
  <c r="H40" i="3"/>
  <c r="I40" i="3" s="1"/>
  <c r="H39" i="3"/>
  <c r="I39" i="3" s="1"/>
  <c r="I38" i="3"/>
  <c r="H38" i="3"/>
  <c r="E9" i="5" s="1"/>
  <c r="H37" i="3"/>
  <c r="F7" i="4" s="1"/>
  <c r="I7" i="4" s="1"/>
  <c r="H36" i="3"/>
  <c r="I36" i="3" s="1"/>
  <c r="H35" i="3"/>
  <c r="I35" i="3" s="1"/>
  <c r="I34" i="3"/>
  <c r="H34" i="3"/>
  <c r="H33" i="3"/>
  <c r="I33" i="3" s="1"/>
  <c r="H32" i="3"/>
  <c r="I32" i="3" s="1"/>
  <c r="H31" i="3"/>
  <c r="I31" i="3" s="1"/>
  <c r="I30" i="3"/>
  <c r="H30" i="3"/>
  <c r="H29" i="3"/>
  <c r="I29" i="3" s="1"/>
  <c r="H28" i="3"/>
  <c r="I28" i="3" s="1"/>
  <c r="H27" i="3"/>
  <c r="E11" i="5" s="1"/>
  <c r="I26" i="3"/>
  <c r="H26" i="3"/>
  <c r="H25" i="3"/>
  <c r="I25" i="3" s="1"/>
  <c r="H24" i="3"/>
  <c r="I24" i="3" s="1"/>
  <c r="H23" i="3"/>
  <c r="E9" i="7" s="1"/>
  <c r="I22" i="3"/>
  <c r="H22" i="3"/>
  <c r="H21" i="3"/>
  <c r="I21" i="3" s="1"/>
  <c r="H20" i="3"/>
  <c r="I20" i="3" s="1"/>
  <c r="H19" i="3"/>
  <c r="I19" i="3" s="1"/>
  <c r="I18" i="3"/>
  <c r="H18" i="3"/>
  <c r="F6" i="4" s="1"/>
  <c r="I6" i="4" s="1"/>
  <c r="H17" i="3"/>
  <c r="I17" i="3" s="1"/>
  <c r="H16" i="3"/>
  <c r="I16" i="3" s="1"/>
  <c r="H15" i="3"/>
  <c r="I15" i="3" s="1"/>
  <c r="I14" i="3"/>
  <c r="H14" i="3"/>
  <c r="E14" i="5" s="1"/>
  <c r="H13" i="3"/>
  <c r="I13" i="3" s="1"/>
  <c r="H12" i="3"/>
  <c r="I12" i="3" s="1"/>
  <c r="H11" i="3"/>
  <c r="E10" i="7" s="1"/>
  <c r="I10" i="3"/>
  <c r="H10" i="3"/>
  <c r="H9" i="3"/>
  <c r="I9" i="3" s="1"/>
  <c r="H8" i="3"/>
  <c r="E7" i="6" s="1"/>
  <c r="H7" i="3"/>
  <c r="I7" i="3" s="1"/>
  <c r="I6" i="3"/>
  <c r="H6" i="3"/>
  <c r="E13" i="5" s="1"/>
  <c r="H5" i="3"/>
  <c r="E5" i="5" s="1"/>
  <c r="H4" i="3"/>
  <c r="E6" i="6" s="1"/>
  <c r="H3" i="3"/>
  <c r="E8" i="6" s="1"/>
  <c r="I2" i="3"/>
  <c r="H2" i="3"/>
  <c r="E6" i="5" s="1"/>
  <c r="F10" i="1"/>
  <c r="B10" i="1"/>
  <c r="Q6" i="1"/>
  <c r="G13" i="5" l="1"/>
  <c r="F13" i="5"/>
  <c r="G9" i="5"/>
  <c r="F9" i="5"/>
  <c r="G9" i="4"/>
  <c r="F6" i="5"/>
  <c r="G6" i="5"/>
  <c r="G11" i="5"/>
  <c r="F11" i="5"/>
  <c r="G16" i="4"/>
  <c r="H6" i="5"/>
  <c r="F14" i="5"/>
  <c r="G14" i="5"/>
  <c r="G10" i="4"/>
  <c r="H11" i="5"/>
  <c r="G5" i="5"/>
  <c r="F5" i="5"/>
  <c r="G12" i="4"/>
  <c r="I5" i="3"/>
  <c r="I3" i="3"/>
  <c r="I11" i="3"/>
  <c r="I23" i="3"/>
  <c r="G6" i="4" s="1"/>
  <c r="I27" i="3"/>
  <c r="I143" i="3"/>
  <c r="G13" i="4" s="1"/>
  <c r="I151" i="3"/>
  <c r="G14" i="4" s="1"/>
  <c r="I159" i="3"/>
  <c r="G15" i="4" s="1"/>
  <c r="H5" i="4"/>
  <c r="F11" i="4"/>
  <c r="I11" i="4" s="1"/>
  <c r="H13" i="4"/>
  <c r="D17" i="4"/>
  <c r="H14" i="5" s="1"/>
  <c r="E5" i="6"/>
  <c r="E9" i="6" s="1"/>
  <c r="E5" i="7"/>
  <c r="E11" i="7" s="1"/>
  <c r="E7" i="7"/>
  <c r="E9" i="8"/>
  <c r="E13" i="8"/>
  <c r="E17" i="8"/>
  <c r="F10" i="4"/>
  <c r="I10" i="4" s="1"/>
  <c r="H12" i="4"/>
  <c r="F5" i="6"/>
  <c r="F5" i="7"/>
  <c r="D6" i="8"/>
  <c r="E18" i="8"/>
  <c r="I4" i="3"/>
  <c r="I8" i="3"/>
  <c r="F7" i="6" s="1"/>
  <c r="H11" i="4"/>
  <c r="E8" i="5"/>
  <c r="E12" i="5"/>
  <c r="E6" i="8"/>
  <c r="E10" i="8"/>
  <c r="E14" i="8"/>
  <c r="E19" i="8"/>
  <c r="D7" i="8"/>
  <c r="D15" i="8"/>
  <c r="E27" i="8" s="1"/>
  <c r="E28" i="8" s="1"/>
  <c r="E20" i="8"/>
  <c r="F16" i="4"/>
  <c r="I16" i="4" s="1"/>
  <c r="I37" i="3"/>
  <c r="G7" i="4" s="1"/>
  <c r="I53" i="3"/>
  <c r="G8" i="4" s="1"/>
  <c r="E7" i="5"/>
  <c r="E15" i="5" s="1"/>
  <c r="E6" i="7"/>
  <c r="E8" i="7"/>
  <c r="E7" i="8"/>
  <c r="E11" i="8"/>
  <c r="E15" i="8"/>
  <c r="D15" i="5"/>
  <c r="E24" i="8"/>
  <c r="F5" i="4"/>
  <c r="E10" i="5"/>
  <c r="E8" i="8"/>
  <c r="E12" i="8"/>
  <c r="F12" i="5" l="1"/>
  <c r="G12" i="5"/>
  <c r="G8" i="5"/>
  <c r="F8" i="5"/>
  <c r="H9" i="5"/>
  <c r="H12" i="5"/>
  <c r="H8" i="5"/>
  <c r="H13" i="5"/>
  <c r="H17" i="4"/>
  <c r="B6" i="1"/>
  <c r="H5" i="5"/>
  <c r="N6" i="1"/>
  <c r="H10" i="5"/>
  <c r="F8" i="6"/>
  <c r="H7" i="5"/>
  <c r="F10" i="5"/>
  <c r="G10" i="5"/>
  <c r="F6" i="6"/>
  <c r="F9" i="6" s="1"/>
  <c r="G7" i="5"/>
  <c r="F7" i="5"/>
  <c r="J10" i="1"/>
  <c r="E22" i="8"/>
  <c r="G5" i="4"/>
  <c r="G17" i="4" s="1"/>
  <c r="F17" i="4"/>
  <c r="I5" i="4"/>
  <c r="I17" i="4" l="1"/>
  <c r="K6" i="1" s="1"/>
  <c r="E6" i="1"/>
  <c r="H15" i="5"/>
</calcChain>
</file>

<file path=xl/sharedStrings.xml><?xml version="1.0" encoding="utf-8"?>
<sst xmlns="http://schemas.openxmlformats.org/spreadsheetml/2006/main" count="817" uniqueCount="100">
  <si>
    <t>Crystal Pools — Annual Sales Dashboard</t>
  </si>
  <si>
    <t>Jan – Dec | Data cleaned &amp; summarized from 171 transactions</t>
  </si>
  <si>
    <t>Total Revenue</t>
  </si>
  <si>
    <t>Total Profit</t>
  </si>
  <si>
    <t>Total Transactions</t>
  </si>
  <si>
    <t>Overall Profit Margin</t>
  </si>
  <si>
    <t>Avg Sale Price</t>
  </si>
  <si>
    <t>Top Product</t>
  </si>
  <si>
    <t>Top Sales Person</t>
  </si>
  <si>
    <t>Top Location</t>
  </si>
  <si>
    <t>Next-Month Revenue Forecast</t>
  </si>
  <si>
    <t>Crystal Pools — Data Cleaning Log</t>
  </si>
  <si>
    <t>Documents every change made between the raw file and the Clean Data sheet</t>
  </si>
  <si>
    <t>Issue Found</t>
  </si>
  <si>
    <t>Correction Applied</t>
  </si>
  <si>
    <t>Rows Affected</t>
  </si>
  <si>
    <t>Sales Person spelling</t>
  </si>
  <si>
    <t>'Chalie Barns' -&gt; 'Charlie Barns', 'Hellen Johnson' -&gt; 'Helen Johnson'</t>
  </si>
  <si>
    <t>Product Description spelling</t>
  </si>
  <si>
    <t>'Algea Killer 8 oz' -&gt; 'Algae Killer 8 oz'</t>
  </si>
  <si>
    <t>Month name standardization</t>
  </si>
  <si>
    <t>'April'-&gt;'Apr', 'June'-&gt;'Jun', 'July'-&gt;'Jul', 'Sept'-&gt;'Sep'</t>
  </si>
  <si>
    <t>Duplicate transaction numbers</t>
  </si>
  <si>
    <t>Checked Transaction Number for duplicates</t>
  </si>
  <si>
    <t>Missing Profit values</t>
  </si>
  <si>
    <t>Column was entirely blank; rebuilt as formula = Sale Price - Store Cost</t>
  </si>
  <si>
    <t>Missing Commission values</t>
  </si>
  <si>
    <t>Column was entirely blank; rebuilt as formula = Profit * 10%</t>
  </si>
  <si>
    <t>Total rows in dataset: 171 (no rows removed — all issues were correctable in place)</t>
  </si>
  <si>
    <t>Month</t>
  </si>
  <si>
    <t>Month Num</t>
  </si>
  <si>
    <t>Transaction Number</t>
  </si>
  <si>
    <t>Product Code</t>
  </si>
  <si>
    <t>Product Description</t>
  </si>
  <si>
    <t>Store Cost</t>
  </si>
  <si>
    <t>Sale Price</t>
  </si>
  <si>
    <t>Profit</t>
  </si>
  <si>
    <t>Commission 10%</t>
  </si>
  <si>
    <t>Sales Person</t>
  </si>
  <si>
    <t>Sale Location</t>
  </si>
  <si>
    <t>Jan</t>
  </si>
  <si>
    <t>Pool Cover</t>
  </si>
  <si>
    <t>Charlie Barns</t>
  </si>
  <si>
    <t>NM</t>
  </si>
  <si>
    <t>Net</t>
  </si>
  <si>
    <t>Juan Hernandez</t>
  </si>
  <si>
    <t>CA</t>
  </si>
  <si>
    <t>8 ft Hose</t>
  </si>
  <si>
    <t>Doug Smith</t>
  </si>
  <si>
    <t>AZ</t>
  </si>
  <si>
    <t>Water Pump</t>
  </si>
  <si>
    <t>Chlorine Test Kit</t>
  </si>
  <si>
    <t>Helen Johnson</t>
  </si>
  <si>
    <t>CO</t>
  </si>
  <si>
    <t>Skimmer</t>
  </si>
  <si>
    <t>1 Gal Muratic Acid</t>
  </si>
  <si>
    <t>Feb</t>
  </si>
  <si>
    <t>AutoVac</t>
  </si>
  <si>
    <t>NV</t>
  </si>
  <si>
    <t>UT</t>
  </si>
  <si>
    <t>Algae Killer 8 oz</t>
  </si>
  <si>
    <t>Mar</t>
  </si>
  <si>
    <t>5 Gal Chlorine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</si>
  <si>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</si>
  <si>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</si>
  <si>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</si>
  <si>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</si>
  <si>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</si>
  <si>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</si>
  <si>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</si>
  <si>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</si>
  <si>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</si>
  <si>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Summary</t>
  </si>
  <si>
    <t>Transactions</t>
  </si>
  <si>
    <t>Total Cost</t>
  </si>
  <si>
    <t>Total Commission</t>
  </si>
  <si>
    <t>Profit Margin %</t>
  </si>
  <si>
    <t>TOTAL</t>
  </si>
  <si>
    <t>Product Performance Summary</t>
  </si>
  <si>
    <t>Product</t>
  </si>
  <si>
    <t>Units Sold</t>
  </si>
  <si>
    <t>Avg Profit / Unit</t>
  </si>
  <si>
    <t>% of Total Revenue</t>
  </si>
  <si>
    <t>Sales Person Performance</t>
  </si>
  <si>
    <t>Sales by Location (State)</t>
  </si>
  <si>
    <t>Location</t>
  </si>
  <si>
    <t>Revenue Forecast — Next 3 Months (Linear Trend)</t>
  </si>
  <si>
    <t>Trend line fitted with SLOPE/INTERCEPT on the 12 months of actual revenue. Seasonality note in Word report.</t>
  </si>
  <si>
    <t>Month Index</t>
  </si>
  <si>
    <t>Actual Revenue</t>
  </si>
  <si>
    <t>Trend Line</t>
  </si>
  <si>
    <t>Jan (Yr 2)</t>
  </si>
  <si>
    <t>Feb (Yr 2)</t>
  </si>
  <si>
    <t>Mar (Yr 2)</t>
  </si>
  <si>
    <t>Projected 3-month total:</t>
  </si>
  <si>
    <t>R-squared (fit quality):</t>
  </si>
  <si>
    <t>Low R2 reflects strong month-to-month seasonality - see moving-average alternative below and Word report for discussion.</t>
  </si>
  <si>
    <t>Alternative forecast: trailing 3-month moving average</t>
  </si>
  <si>
    <t>Basis (last 3 actual months: Oct, Nov, Dec):</t>
  </si>
  <si>
    <t>Suggested next-month forecast (moving avg):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</si>
</sst>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1F4E78"/>
      <name val="Arial"/>
      <charset val="1"/>
    </font>
    <font>
      <b/>
      <sz val="18"/>
      <color rgb="FF1F4E78"/>
      <name val="Arial"/>
      <charset val="1"/>
    </font>
    <font>
      <b/>
      <sz val="15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3"/>
      <color rgb="FF1F4E78"/>
      <name val="Arial"/>
      <charset val="1"/>
    </font>
    <font>
      <b/>
      <sz val="10"/>
      <name val="Arial"/>
      <charset val="1"/>
    </font>
    <font>
      <i/>
      <sz val="10"/>
      <color rgb="FFC00000"/>
      <name val="Arial"/>
      <charset val="1"/>
    </font>
    <font>
      <i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CE4E4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165" fontId="7" fillId="4" borderId="1" xfId="0" applyNumberFormat="1" applyFont="1" applyFill="1" applyBorder="1"/>
    <xf numFmtId="165" fontId="7" fillId="0" borderId="1" xfId="0" applyNumberFormat="1" applyFont="1" applyBorder="1"/>
    <xf numFmtId="0" fontId="10" fillId="2" borderId="1" xfId="0" applyFont="1" applyFill="1" applyBorder="1"/>
    <xf numFmtId="165" fontId="10" fillId="2" borderId="1" xfId="0" applyNumberFormat="1" applyFont="1" applyFill="1" applyBorder="1"/>
    <xf numFmtId="0" fontId="11" fillId="5" borderId="1" xfId="0" applyFont="1" applyFill="1" applyBorder="1"/>
    <xf numFmtId="0" fontId="10" fillId="0" borderId="0" xfId="0" applyFont="1"/>
    <xf numFmtId="0" fontId="12" fillId="0" borderId="0" xfId="0" applyFont="1"/>
    <xf numFmtId="0" fontId="7" fillId="0" borderId="0" xfId="0" applyFont="1"/>
    <xf numFmtId="44" fontId="6" fillId="3" borderId="1" xfId="0" applyNumberFormat="1" applyFont="1" applyFill="1" applyBorder="1" applyAlignment="1">
      <alignment horizontal="center" vertical="center"/>
    </xf>
    <xf numFmtId="44" fontId="7" fillId="4" borderId="1" xfId="0" applyNumberFormat="1" applyFont="1" applyFill="1" applyBorder="1"/>
    <xf numFmtId="44" fontId="7" fillId="0" borderId="1" xfId="0" applyNumberFormat="1" applyFont="1" applyBorder="1"/>
    <xf numFmtId="44" fontId="0" fillId="0" borderId="0" xfId="0" applyNumberFormat="1"/>
    <xf numFmtId="44" fontId="10" fillId="2" borderId="1" xfId="0" applyNumberFormat="1" applyFont="1" applyFill="1" applyBorder="1"/>
    <xf numFmtId="44" fontId="11" fillId="5" borderId="1" xfId="0" applyNumberFormat="1" applyFont="1" applyFill="1" applyBorder="1"/>
    <xf numFmtId="4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78787"/>
      <rgbColor rgb="FF93A9CE"/>
      <rgbColor rgb="FFAB4744"/>
      <rgbColor rgb="FFF9F9F9"/>
      <rgbColor rgb="FFDDEBF7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B8CD97"/>
      <rgbColor rgb="FFD09493"/>
      <rgbColor rgb="FFCC99FF"/>
      <rgbColor rgb="FFFCE4E4"/>
      <rgbColor rgb="FF4A7EBB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C0504D"/>
      <rgbColor rgb="FFBE4B48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- Monthly'!$D$4</c:f>
              <c:strCache>
                <c:ptCount val="1"/>
                <c:pt idx="0">
                  <c:v> Total Revenue 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Monthly'!$B$5:$B$16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- Monthly'!$D$5:$D$16</c:f>
              <c:numCache>
                <c:formatCode>_("$"* #,##0.00_);_("$"* \(#,##0.00\);_("$"* "-"??_);_(@_)</c:formatCode>
                <c:ptCount val="12"/>
                <c:pt idx="0">
                  <c:v>1418.6999999999998</c:v>
                </c:pt>
                <c:pt idx="1">
                  <c:v>971.19999999999993</c:v>
                </c:pt>
                <c:pt idx="2">
                  <c:v>1875.4</c:v>
                </c:pt>
                <c:pt idx="3">
                  <c:v>510.7</c:v>
                </c:pt>
                <c:pt idx="4">
                  <c:v>347.40000000000003</c:v>
                </c:pt>
                <c:pt idx="5">
                  <c:v>409.50000000000006</c:v>
                </c:pt>
                <c:pt idx="6">
                  <c:v>3992.3</c:v>
                </c:pt>
                <c:pt idx="7">
                  <c:v>2513.6000000000004</c:v>
                </c:pt>
                <c:pt idx="8">
                  <c:v>1542.8</c:v>
                </c:pt>
                <c:pt idx="9">
                  <c:v>1153.4000000000001</c:v>
                </c:pt>
                <c:pt idx="10">
                  <c:v>1477.1999999999998</c:v>
                </c:pt>
                <c:pt idx="11">
                  <c:v>898.4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7-4723-9880-9A5C6C1F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788522"/>
        <c:axId val="84610567"/>
      </c:lineChart>
      <c:catAx>
        <c:axId val="89788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610567"/>
        <c:crosses val="autoZero"/>
        <c:auto val="1"/>
        <c:lblAlgn val="ctr"/>
        <c:lblOffset val="100"/>
        <c:noMultiLvlLbl val="0"/>
      </c:catAx>
      <c:valAx>
        <c:axId val="84610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7885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Product'!$D$4</c:f>
              <c:strCache>
                <c:ptCount val="1"/>
                <c:pt idx="0">
                  <c:v> Total Revenue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Product'!$B$5:$B$14</c:f>
              <c:strCache>
                <c:ptCount val="10"/>
                <c:pt idx="0">
                  <c:v>Water Pump</c:v>
                </c:pt>
                <c:pt idx="1">
                  <c:v>Pool Cover</c:v>
                </c:pt>
                <c:pt idx="2">
                  <c:v>AutoVac</c:v>
                </c:pt>
                <c:pt idx="3">
                  <c:v>Skimmer</c:v>
                </c:pt>
                <c:pt idx="4">
                  <c:v>5 Gal Chlorine</c:v>
                </c:pt>
                <c:pt idx="5">
                  <c:v>Net</c:v>
                </c:pt>
                <c:pt idx="6">
                  <c:v>Algae Killer 8 oz</c:v>
                </c:pt>
                <c:pt idx="7">
                  <c:v>8 ft Hose</c:v>
                </c:pt>
                <c:pt idx="8">
                  <c:v>Chlorine Test Kit</c:v>
                </c:pt>
                <c:pt idx="9">
                  <c:v>1 Gal Muratic Acid</c:v>
                </c:pt>
              </c:strCache>
            </c:strRef>
          </c:cat>
          <c:val>
            <c:numRef>
              <c:f>'Pivot - Product'!$D$5:$D$14</c:f>
              <c:numCache>
                <c:formatCode>_("$"* #,##0.00_);_("$"* \(#,##0.00\);_("$"* "-"??_);_(@_)</c:formatCode>
                <c:ptCount val="10"/>
                <c:pt idx="0">
                  <c:v>10040</c:v>
                </c:pt>
                <c:pt idx="1">
                  <c:v>2066.4000000000005</c:v>
                </c:pt>
                <c:pt idx="2">
                  <c:v>1984</c:v>
                </c:pt>
                <c:pt idx="3">
                  <c:v>1305</c:v>
                </c:pt>
                <c:pt idx="4">
                  <c:v>693</c:v>
                </c:pt>
                <c:pt idx="5">
                  <c:v>391.20000000000016</c:v>
                </c:pt>
                <c:pt idx="6">
                  <c:v>210</c:v>
                </c:pt>
                <c:pt idx="7">
                  <c:v>183.99999999999994</c:v>
                </c:pt>
                <c:pt idx="8">
                  <c:v>160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B-475B-BD01-D858C429A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01955"/>
        <c:axId val="46726826"/>
      </c:barChart>
      <c:catAx>
        <c:axId val="30601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26826"/>
        <c:crosses val="autoZero"/>
        <c:auto val="1"/>
        <c:lblAlgn val="ctr"/>
        <c:lblOffset val="100"/>
        <c:noMultiLvlLbl val="0"/>
      </c:catAx>
      <c:valAx>
        <c:axId val="46726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01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Mix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- Product'!$D$4</c:f>
              <c:strCache>
                <c:ptCount val="1"/>
                <c:pt idx="0">
                  <c:v> Total Revenue 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39D-462A-81F7-A4639807F9D2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39D-462A-81F7-A4639807F9D2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39D-462A-81F7-A4639807F9D2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39D-462A-81F7-A4639807F9D2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39D-462A-81F7-A4639807F9D2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39D-462A-81F7-A4639807F9D2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339D-462A-81F7-A4639807F9D2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39D-462A-81F7-A4639807F9D2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39D-462A-81F7-A4639807F9D2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39D-462A-81F7-A4639807F9D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39D-462A-81F7-A4639807F9D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39D-462A-81F7-A4639807F9D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39D-462A-81F7-A4639807F9D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39D-462A-81F7-A4639807F9D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39D-462A-81F7-A4639807F9D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339D-462A-81F7-A4639807F9D2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339D-462A-81F7-A4639807F9D2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339D-462A-81F7-A4639807F9D2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339D-462A-81F7-A4639807F9D2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339D-462A-81F7-A4639807F9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- Product'!$B$5:$B$14</c:f>
              <c:strCache>
                <c:ptCount val="10"/>
                <c:pt idx="0">
                  <c:v>Water Pump</c:v>
                </c:pt>
                <c:pt idx="1">
                  <c:v>Pool Cover</c:v>
                </c:pt>
                <c:pt idx="2">
                  <c:v>AutoVac</c:v>
                </c:pt>
                <c:pt idx="3">
                  <c:v>Skimmer</c:v>
                </c:pt>
                <c:pt idx="4">
                  <c:v>5 Gal Chlorine</c:v>
                </c:pt>
                <c:pt idx="5">
                  <c:v>Net</c:v>
                </c:pt>
                <c:pt idx="6">
                  <c:v>Algae Killer 8 oz</c:v>
                </c:pt>
                <c:pt idx="7">
                  <c:v>8 ft Hose</c:v>
                </c:pt>
                <c:pt idx="8">
                  <c:v>Chlorine Test Kit</c:v>
                </c:pt>
                <c:pt idx="9">
                  <c:v>1 Gal Muratic Acid</c:v>
                </c:pt>
              </c:strCache>
            </c:strRef>
          </c:cat>
          <c:val>
            <c:numRef>
              <c:f>'Pivot - Product'!$D$5:$D$14</c:f>
              <c:numCache>
                <c:formatCode>_("$"* #,##0.00_);_("$"* \(#,##0.00\);_("$"* "-"??_);_(@_)</c:formatCode>
                <c:ptCount val="10"/>
                <c:pt idx="0">
                  <c:v>10040</c:v>
                </c:pt>
                <c:pt idx="1">
                  <c:v>2066.4000000000005</c:v>
                </c:pt>
                <c:pt idx="2">
                  <c:v>1984</c:v>
                </c:pt>
                <c:pt idx="3">
                  <c:v>1305</c:v>
                </c:pt>
                <c:pt idx="4">
                  <c:v>693</c:v>
                </c:pt>
                <c:pt idx="5">
                  <c:v>391.20000000000016</c:v>
                </c:pt>
                <c:pt idx="6">
                  <c:v>210</c:v>
                </c:pt>
                <c:pt idx="7">
                  <c:v>183.99999999999994</c:v>
                </c:pt>
                <c:pt idx="8">
                  <c:v>160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39D-462A-81F7-A4639807F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Sales 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Sales Person'!$D$4</c:f>
              <c:strCache>
                <c:ptCount val="1"/>
                <c:pt idx="0">
                  <c:v> Total Revenue 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Sales Person'!$B$5:$B$8</c:f>
              <c:strCache>
                <c:ptCount val="4"/>
                <c:pt idx="0">
                  <c:v>Charlie Barns</c:v>
                </c:pt>
                <c:pt idx="1">
                  <c:v>Doug Smith</c:v>
                </c:pt>
                <c:pt idx="2">
                  <c:v>Helen Johnson</c:v>
                </c:pt>
                <c:pt idx="3">
                  <c:v>Juan Hernandez</c:v>
                </c:pt>
              </c:strCache>
            </c:strRef>
          </c:cat>
          <c:val>
            <c:numRef>
              <c:f>'Pivot - Sales Person'!$D$5:$D$8</c:f>
              <c:numCache>
                <c:formatCode>_("$"* #,##0.00_);_("$"* \(#,##0.00\);_("$"* "-"??_);_(@_)</c:formatCode>
                <c:ptCount val="4"/>
                <c:pt idx="0">
                  <c:v>6003.5</c:v>
                </c:pt>
                <c:pt idx="1">
                  <c:v>5661.0999999999985</c:v>
                </c:pt>
                <c:pt idx="2">
                  <c:v>3035.3</c:v>
                </c:pt>
                <c:pt idx="3">
                  <c:v>2410.7000000000003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C-4E12-8CFF-679B8FE29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483208"/>
        <c:axId val="56167828"/>
      </c:barChart>
      <c:catAx>
        <c:axId val="7448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167828"/>
        <c:crosses val="autoZero"/>
        <c:auto val="1"/>
        <c:lblAlgn val="ctr"/>
        <c:lblOffset val="100"/>
        <c:noMultiLvlLbl val="0"/>
      </c:catAx>
      <c:valAx>
        <c:axId val="561678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83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Location'!$D$4</c:f>
              <c:strCache>
                <c:ptCount val="1"/>
                <c:pt idx="0">
                  <c:v> Total Revenue 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Location'!$B$5:$B$10</c:f>
              <c:strCache>
                <c:ptCount val="6"/>
                <c:pt idx="0">
                  <c:v>AZ</c:v>
                </c:pt>
                <c:pt idx="1">
                  <c:v>NV</c:v>
                </c:pt>
                <c:pt idx="2">
                  <c:v>CA</c:v>
                </c:pt>
                <c:pt idx="3">
                  <c:v>NM</c:v>
                </c:pt>
                <c:pt idx="4">
                  <c:v>UT</c:v>
                </c:pt>
                <c:pt idx="5">
                  <c:v>CO</c:v>
                </c:pt>
              </c:strCache>
            </c:strRef>
          </c:cat>
          <c:val>
            <c:numRef>
              <c:f>'Pivot - Location'!$D$5:$D$10</c:f>
              <c:numCache>
                <c:formatCode>_("$"* #,##0.00_);_("$"* \(#,##0.00\);_("$"* "-"??_);_(@_)</c:formatCode>
                <c:ptCount val="6"/>
                <c:pt idx="0">
                  <c:v>5659.9999999999982</c:v>
                </c:pt>
                <c:pt idx="1">
                  <c:v>4722.5</c:v>
                </c:pt>
                <c:pt idx="2">
                  <c:v>3537.6000000000004</c:v>
                </c:pt>
                <c:pt idx="3">
                  <c:v>1776.9</c:v>
                </c:pt>
                <c:pt idx="4">
                  <c:v>1347.6</c:v>
                </c:pt>
                <c:pt idx="5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C-487E-AC03-B3D4EEAF5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651007"/>
        <c:axId val="51426254"/>
      </c:barChart>
      <c:catAx>
        <c:axId val="9265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426254"/>
        <c:crosses val="autoZero"/>
        <c:auto val="1"/>
        <c:lblAlgn val="ctr"/>
        <c:lblOffset val="100"/>
        <c:noMultiLvlLbl val="0"/>
      </c:catAx>
      <c:valAx>
        <c:axId val="51426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6510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Forecast (Actual vs. Trend)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Forecast!$D$5</c:f>
              <c:strCache>
                <c:ptCount val="1"/>
                <c:pt idx="0">
                  <c:v> Actual Revenue 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Forecast!$C$6:$C$20</c:f>
              <c:strCache>
                <c:ptCount val="1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(Yr 2)</c:v>
                </c:pt>
                <c:pt idx="13">
                  <c:v>Feb (Yr 2)</c:v>
                </c:pt>
                <c:pt idx="14">
                  <c:v>Mar (Yr 2)</c:v>
                </c:pt>
              </c:strCache>
            </c:strRef>
          </c:cat>
          <c:val>
            <c:numRef>
              <c:f>Forecast!$D$6:$D$20</c:f>
              <c:numCache>
                <c:formatCode>_("$"* #,##0.00_);_("$"* \(#,##0.00\);_("$"* "-"??_);_(@_)</c:formatCode>
                <c:ptCount val="15"/>
                <c:pt idx="0">
                  <c:v>1418.6999999999998</c:v>
                </c:pt>
                <c:pt idx="1">
                  <c:v>971.19999999999993</c:v>
                </c:pt>
                <c:pt idx="2">
                  <c:v>1875.4</c:v>
                </c:pt>
                <c:pt idx="3">
                  <c:v>510.7</c:v>
                </c:pt>
                <c:pt idx="4">
                  <c:v>347.40000000000003</c:v>
                </c:pt>
                <c:pt idx="5">
                  <c:v>409.50000000000006</c:v>
                </c:pt>
                <c:pt idx="6">
                  <c:v>3992.3</c:v>
                </c:pt>
                <c:pt idx="7">
                  <c:v>2513.6000000000004</c:v>
                </c:pt>
                <c:pt idx="8">
                  <c:v>1542.8</c:v>
                </c:pt>
                <c:pt idx="9">
                  <c:v>1153.4000000000001</c:v>
                </c:pt>
                <c:pt idx="10">
                  <c:v>1477.1999999999998</c:v>
                </c:pt>
                <c:pt idx="11">
                  <c:v>898.4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7-43AA-86CE-288E41D0180D}"/>
            </c:ext>
          </c:extLst>
        </c:ser>
        <c:ser>
          <c:idx val="1"/>
          <c:order val="1"/>
          <c:tx>
            <c:strRef>
              <c:f>Forecast!$E$5</c:f>
              <c:strCache>
                <c:ptCount val="1"/>
                <c:pt idx="0">
                  <c:v> Trend Line 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Forecast!$C$6:$C$20</c:f>
              <c:strCache>
                <c:ptCount val="1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(Yr 2)</c:v>
                </c:pt>
                <c:pt idx="13">
                  <c:v>Feb (Yr 2)</c:v>
                </c:pt>
                <c:pt idx="14">
                  <c:v>Mar (Yr 2)</c:v>
                </c:pt>
              </c:strCache>
            </c:strRef>
          </c:cat>
          <c:val>
            <c:numRef>
              <c:f>Forecast!$E$6:$E$20</c:f>
              <c:numCache>
                <c:formatCode>_("$"* #,##0.00_);_("$"* \(#,##0.00\);_("$"* "-"??_);_(@_)</c:formatCode>
                <c:ptCount val="15"/>
                <c:pt idx="0">
                  <c:v>1252.4487179487178</c:v>
                </c:pt>
                <c:pt idx="1">
                  <c:v>1283.9822843822842</c:v>
                </c:pt>
                <c:pt idx="2">
                  <c:v>1315.5158508158506</c:v>
                </c:pt>
                <c:pt idx="3">
                  <c:v>1347.049417249417</c:v>
                </c:pt>
                <c:pt idx="4">
                  <c:v>1378.5829836829835</c:v>
                </c:pt>
                <c:pt idx="5">
                  <c:v>1410.1165501165501</c:v>
                </c:pt>
                <c:pt idx="6">
                  <c:v>1441.6501165501165</c:v>
                </c:pt>
                <c:pt idx="7">
                  <c:v>1473.183682983683</c:v>
                </c:pt>
                <c:pt idx="8">
                  <c:v>1504.7172494172494</c:v>
                </c:pt>
                <c:pt idx="9">
                  <c:v>1536.2508158508158</c:v>
                </c:pt>
                <c:pt idx="10">
                  <c:v>1567.7843822843822</c:v>
                </c:pt>
                <c:pt idx="11">
                  <c:v>1599.3179487179486</c:v>
                </c:pt>
                <c:pt idx="12">
                  <c:v>1630.8515151515151</c:v>
                </c:pt>
                <c:pt idx="13">
                  <c:v>1662.3850815850815</c:v>
                </c:pt>
                <c:pt idx="14">
                  <c:v>1693.9186480186481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7-43AA-86CE-288E41D0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431768"/>
        <c:axId val="74786500"/>
      </c:lineChart>
      <c:catAx>
        <c:axId val="204317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786500"/>
        <c:crosses val="autoZero"/>
        <c:auto val="1"/>
        <c:lblAlgn val="ctr"/>
        <c:lblOffset val="100"/>
        <c:noMultiLvlLbl val="0"/>
      </c:catAx>
      <c:valAx>
        <c:axId val="74786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4317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8</xdr:col>
      <xdr:colOff>332280</xdr:colOff>
      <xdr:row>25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16</xdr:col>
      <xdr:colOff>332280</xdr:colOff>
      <xdr:row>25</xdr:row>
      <xdr:rowOff>136440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737492</xdr:colOff>
      <xdr:row>10</xdr:row>
      <xdr:rowOff>160415</xdr:rowOff>
    </xdr:from>
    <xdr:to>
      <xdr:col>33</xdr:col>
      <xdr:colOff>198119</xdr:colOff>
      <xdr:row>42</xdr:row>
      <xdr:rowOff>93981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16</xdr:col>
      <xdr:colOff>332280</xdr:colOff>
      <xdr:row>43</xdr:row>
      <xdr:rowOff>60120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121920</xdr:colOff>
      <xdr:row>29</xdr:row>
      <xdr:rowOff>167640</xdr:rowOff>
    </xdr:from>
    <xdr:to>
      <xdr:col>8</xdr:col>
      <xdr:colOff>454200</xdr:colOff>
      <xdr:row>42</xdr:row>
      <xdr:rowOff>98160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47</xdr:row>
      <xdr:rowOff>0</xdr:rowOff>
    </xdr:from>
    <xdr:to>
      <xdr:col>16</xdr:col>
      <xdr:colOff>332280</xdr:colOff>
      <xdr:row>62</xdr:row>
      <xdr:rowOff>21960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2"/>
  <sheetViews>
    <sheetView showGridLines="0" tabSelected="1" zoomScaleNormal="100" workbookViewId="0">
      <pane ySplit="1" topLeftCell="A2" activePane="bottomLeft" state="frozen"/>
      <selection pane="bottomLeft" activeCell="N9" sqref="N9"/>
    </sheetView>
  </sheetViews>
  <sheetFormatPr defaultColWidth="8.6640625" defaultRowHeight="14.4" x14ac:dyDescent="0.3"/>
  <cols>
    <col min="1" max="1" width="7" customWidth="1"/>
    <col min="2" max="2" width="12.109375" bestFit="1" customWidth="1"/>
    <col min="3" max="3" width="20.88671875" bestFit="1" customWidth="1"/>
    <col min="4" max="4" width="14.33203125" bestFit="1" customWidth="1"/>
    <col min="5" max="5" width="20.44140625" bestFit="1" customWidth="1"/>
    <col min="6" max="6" width="11.21875" style="28" bestFit="1" customWidth="1"/>
    <col min="7" max="7" width="10.77734375" style="28" bestFit="1" customWidth="1"/>
    <col min="8" max="8" width="8.88671875" style="28" bestFit="1" customWidth="1"/>
    <col min="9" max="9" width="18.109375" style="28" bestFit="1" customWidth="1"/>
    <col min="10" max="10" width="14.44140625" bestFit="1" customWidth="1"/>
    <col min="11" max="11" width="14.21875" bestFit="1" customWidth="1"/>
  </cols>
  <sheetData>
    <row r="1" spans="1:11" x14ac:dyDescent="0.3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25" t="s">
        <v>34</v>
      </c>
      <c r="G1" s="25" t="s">
        <v>35</v>
      </c>
      <c r="H1" s="25" t="s">
        <v>36</v>
      </c>
      <c r="I1" s="25" t="s">
        <v>37</v>
      </c>
      <c r="J1" s="10" t="s">
        <v>38</v>
      </c>
      <c r="K1" s="10" t="s">
        <v>39</v>
      </c>
    </row>
    <row r="2" spans="1:11" x14ac:dyDescent="0.3">
      <c r="A2" s="11" t="s">
        <v>40</v>
      </c>
      <c r="B2" s="11">
        <v>1</v>
      </c>
      <c r="C2" s="11">
        <v>1001</v>
      </c>
      <c r="D2" s="11">
        <v>9822</v>
      </c>
      <c r="E2" s="11" t="s">
        <v>41</v>
      </c>
      <c r="F2" s="26">
        <v>58.3</v>
      </c>
      <c r="G2" s="26">
        <v>98.4</v>
      </c>
      <c r="H2" s="26">
        <f t="shared" ref="H2:H33" si="0">G2-F2</f>
        <v>40.100000000000009</v>
      </c>
      <c r="I2" s="26">
        <f t="shared" ref="I2:I33" si="1">H2*0.1</f>
        <v>4.0100000000000007</v>
      </c>
      <c r="J2" s="11" t="s">
        <v>42</v>
      </c>
      <c r="K2" s="11" t="s">
        <v>43</v>
      </c>
    </row>
    <row r="3" spans="1:11" x14ac:dyDescent="0.3">
      <c r="A3" s="13" t="s">
        <v>40</v>
      </c>
      <c r="B3" s="13">
        <v>1</v>
      </c>
      <c r="C3" s="13">
        <v>1002</v>
      </c>
      <c r="D3" s="13">
        <v>2877</v>
      </c>
      <c r="E3" s="13" t="s">
        <v>44</v>
      </c>
      <c r="F3" s="27">
        <v>11.4</v>
      </c>
      <c r="G3" s="27">
        <v>16.3</v>
      </c>
      <c r="H3" s="27">
        <f t="shared" si="0"/>
        <v>4.9000000000000004</v>
      </c>
      <c r="I3" s="27">
        <f t="shared" si="1"/>
        <v>0.49000000000000005</v>
      </c>
      <c r="J3" s="13" t="s">
        <v>45</v>
      </c>
      <c r="K3" s="13" t="s">
        <v>46</v>
      </c>
    </row>
    <row r="4" spans="1:11" x14ac:dyDescent="0.3">
      <c r="A4" s="11" t="s">
        <v>40</v>
      </c>
      <c r="B4" s="11">
        <v>1</v>
      </c>
      <c r="C4" s="11">
        <v>1003</v>
      </c>
      <c r="D4" s="11">
        <v>2499</v>
      </c>
      <c r="E4" s="11" t="s">
        <v>47</v>
      </c>
      <c r="F4" s="26">
        <v>6.2</v>
      </c>
      <c r="G4" s="26">
        <v>9.1999999999999993</v>
      </c>
      <c r="H4" s="26">
        <f t="shared" si="0"/>
        <v>2.9999999999999991</v>
      </c>
      <c r="I4" s="26">
        <f t="shared" si="1"/>
        <v>0.29999999999999993</v>
      </c>
      <c r="J4" s="11" t="s">
        <v>48</v>
      </c>
      <c r="K4" s="11" t="s">
        <v>49</v>
      </c>
    </row>
    <row r="5" spans="1:11" x14ac:dyDescent="0.3">
      <c r="A5" s="13" t="s">
        <v>40</v>
      </c>
      <c r="B5" s="13">
        <v>1</v>
      </c>
      <c r="C5" s="13">
        <v>1004</v>
      </c>
      <c r="D5" s="13">
        <v>8722</v>
      </c>
      <c r="E5" s="13" t="s">
        <v>50</v>
      </c>
      <c r="F5" s="27">
        <v>344</v>
      </c>
      <c r="G5" s="27">
        <v>502</v>
      </c>
      <c r="H5" s="27">
        <f t="shared" si="0"/>
        <v>158</v>
      </c>
      <c r="I5" s="27">
        <f t="shared" si="1"/>
        <v>15.8</v>
      </c>
      <c r="J5" s="13" t="s">
        <v>42</v>
      </c>
      <c r="K5" s="13" t="s">
        <v>49</v>
      </c>
    </row>
    <row r="6" spans="1:11" x14ac:dyDescent="0.3">
      <c r="A6" s="11" t="s">
        <v>40</v>
      </c>
      <c r="B6" s="11">
        <v>1</v>
      </c>
      <c r="C6" s="11">
        <v>1005</v>
      </c>
      <c r="D6" s="11">
        <v>1109</v>
      </c>
      <c r="E6" s="11" t="s">
        <v>51</v>
      </c>
      <c r="F6" s="26">
        <v>3</v>
      </c>
      <c r="G6" s="26">
        <v>8</v>
      </c>
      <c r="H6" s="26">
        <f t="shared" si="0"/>
        <v>5</v>
      </c>
      <c r="I6" s="26">
        <f t="shared" si="1"/>
        <v>0.5</v>
      </c>
      <c r="J6" s="11" t="s">
        <v>48</v>
      </c>
      <c r="K6" s="11" t="s">
        <v>49</v>
      </c>
    </row>
    <row r="7" spans="1:11" x14ac:dyDescent="0.3">
      <c r="A7" s="13" t="s">
        <v>40</v>
      </c>
      <c r="B7" s="13">
        <v>1</v>
      </c>
      <c r="C7" s="13">
        <v>1006</v>
      </c>
      <c r="D7" s="13">
        <v>9822</v>
      </c>
      <c r="E7" s="13" t="s">
        <v>41</v>
      </c>
      <c r="F7" s="27">
        <v>58.3</v>
      </c>
      <c r="G7" s="27">
        <v>98.4</v>
      </c>
      <c r="H7" s="27">
        <f t="shared" si="0"/>
        <v>40.100000000000009</v>
      </c>
      <c r="I7" s="27">
        <f t="shared" si="1"/>
        <v>4.0100000000000007</v>
      </c>
      <c r="J7" s="13" t="s">
        <v>48</v>
      </c>
      <c r="K7" s="13" t="s">
        <v>49</v>
      </c>
    </row>
    <row r="8" spans="1:11" x14ac:dyDescent="0.3">
      <c r="A8" s="11" t="s">
        <v>40</v>
      </c>
      <c r="B8" s="11">
        <v>1</v>
      </c>
      <c r="C8" s="11">
        <v>1007</v>
      </c>
      <c r="D8" s="11">
        <v>1109</v>
      </c>
      <c r="E8" s="11" t="s">
        <v>51</v>
      </c>
      <c r="F8" s="26">
        <v>3</v>
      </c>
      <c r="G8" s="26">
        <v>8</v>
      </c>
      <c r="H8" s="26">
        <f t="shared" si="0"/>
        <v>5</v>
      </c>
      <c r="I8" s="26">
        <f t="shared" si="1"/>
        <v>0.5</v>
      </c>
      <c r="J8" s="11" t="s">
        <v>52</v>
      </c>
      <c r="K8" s="11" t="s">
        <v>43</v>
      </c>
    </row>
    <row r="9" spans="1:11" x14ac:dyDescent="0.3">
      <c r="A9" s="13" t="s">
        <v>40</v>
      </c>
      <c r="B9" s="13">
        <v>1</v>
      </c>
      <c r="C9" s="13">
        <v>1008</v>
      </c>
      <c r="D9" s="13">
        <v>2877</v>
      </c>
      <c r="E9" s="13" t="s">
        <v>44</v>
      </c>
      <c r="F9" s="27">
        <v>11.4</v>
      </c>
      <c r="G9" s="27">
        <v>16.3</v>
      </c>
      <c r="H9" s="27">
        <f t="shared" si="0"/>
        <v>4.9000000000000004</v>
      </c>
      <c r="I9" s="27">
        <f t="shared" si="1"/>
        <v>0.49000000000000005</v>
      </c>
      <c r="J9" s="13" t="s">
        <v>48</v>
      </c>
      <c r="K9" s="13" t="s">
        <v>43</v>
      </c>
    </row>
    <row r="10" spans="1:11" x14ac:dyDescent="0.3">
      <c r="A10" s="11" t="s">
        <v>40</v>
      </c>
      <c r="B10" s="11">
        <v>1</v>
      </c>
      <c r="C10" s="11">
        <v>1009</v>
      </c>
      <c r="D10" s="11">
        <v>1109</v>
      </c>
      <c r="E10" s="11" t="s">
        <v>51</v>
      </c>
      <c r="F10" s="26">
        <v>3</v>
      </c>
      <c r="G10" s="26">
        <v>8</v>
      </c>
      <c r="H10" s="26">
        <f t="shared" si="0"/>
        <v>5</v>
      </c>
      <c r="I10" s="26">
        <f t="shared" si="1"/>
        <v>0.5</v>
      </c>
      <c r="J10" s="11" t="s">
        <v>48</v>
      </c>
      <c r="K10" s="11" t="s">
        <v>49</v>
      </c>
    </row>
    <row r="11" spans="1:11" x14ac:dyDescent="0.3">
      <c r="A11" s="13" t="s">
        <v>40</v>
      </c>
      <c r="B11" s="13">
        <v>1</v>
      </c>
      <c r="C11" s="13">
        <v>1010</v>
      </c>
      <c r="D11" s="13">
        <v>2877</v>
      </c>
      <c r="E11" s="13" t="s">
        <v>44</v>
      </c>
      <c r="F11" s="27">
        <v>11.4</v>
      </c>
      <c r="G11" s="27">
        <v>16.3</v>
      </c>
      <c r="H11" s="27">
        <f t="shared" si="0"/>
        <v>4.9000000000000004</v>
      </c>
      <c r="I11" s="27">
        <f t="shared" si="1"/>
        <v>0.49000000000000005</v>
      </c>
      <c r="J11" s="13" t="s">
        <v>45</v>
      </c>
      <c r="K11" s="13" t="s">
        <v>53</v>
      </c>
    </row>
    <row r="12" spans="1:11" x14ac:dyDescent="0.3">
      <c r="A12" s="11" t="s">
        <v>40</v>
      </c>
      <c r="B12" s="11">
        <v>1</v>
      </c>
      <c r="C12" s="11">
        <v>1011</v>
      </c>
      <c r="D12" s="11">
        <v>2877</v>
      </c>
      <c r="E12" s="11" t="s">
        <v>44</v>
      </c>
      <c r="F12" s="26">
        <v>11.4</v>
      </c>
      <c r="G12" s="26">
        <v>16.3</v>
      </c>
      <c r="H12" s="26">
        <f t="shared" si="0"/>
        <v>4.9000000000000004</v>
      </c>
      <c r="I12" s="26">
        <f t="shared" si="1"/>
        <v>0.49000000000000005</v>
      </c>
      <c r="J12" s="11" t="s">
        <v>45</v>
      </c>
      <c r="K12" s="11" t="s">
        <v>49</v>
      </c>
    </row>
    <row r="13" spans="1:11" x14ac:dyDescent="0.3">
      <c r="A13" s="13" t="s">
        <v>40</v>
      </c>
      <c r="B13" s="13">
        <v>1</v>
      </c>
      <c r="C13" s="13">
        <v>1012</v>
      </c>
      <c r="D13" s="13">
        <v>4421</v>
      </c>
      <c r="E13" s="13" t="s">
        <v>54</v>
      </c>
      <c r="F13" s="27">
        <v>45</v>
      </c>
      <c r="G13" s="27">
        <v>87</v>
      </c>
      <c r="H13" s="27">
        <f t="shared" si="0"/>
        <v>42</v>
      </c>
      <c r="I13" s="27">
        <f t="shared" si="1"/>
        <v>4.2</v>
      </c>
      <c r="J13" s="13" t="s">
        <v>48</v>
      </c>
      <c r="K13" s="13" t="s">
        <v>43</v>
      </c>
    </row>
    <row r="14" spans="1:11" x14ac:dyDescent="0.3">
      <c r="A14" s="11" t="s">
        <v>40</v>
      </c>
      <c r="B14" s="11">
        <v>1</v>
      </c>
      <c r="C14" s="11">
        <v>1013</v>
      </c>
      <c r="D14" s="11">
        <v>9212</v>
      </c>
      <c r="E14" s="11" t="s">
        <v>55</v>
      </c>
      <c r="F14" s="26">
        <v>4</v>
      </c>
      <c r="G14" s="26">
        <v>7</v>
      </c>
      <c r="H14" s="26">
        <f t="shared" si="0"/>
        <v>3</v>
      </c>
      <c r="I14" s="26">
        <f t="shared" si="1"/>
        <v>0.30000000000000004</v>
      </c>
      <c r="J14" s="11" t="s">
        <v>52</v>
      </c>
      <c r="K14" s="11" t="s">
        <v>53</v>
      </c>
    </row>
    <row r="15" spans="1:11" x14ac:dyDescent="0.3">
      <c r="A15" s="13" t="s">
        <v>40</v>
      </c>
      <c r="B15" s="13">
        <v>1</v>
      </c>
      <c r="C15" s="13">
        <v>1014</v>
      </c>
      <c r="D15" s="13">
        <v>8722</v>
      </c>
      <c r="E15" s="13" t="s">
        <v>50</v>
      </c>
      <c r="F15" s="27">
        <v>344</v>
      </c>
      <c r="G15" s="27">
        <v>502</v>
      </c>
      <c r="H15" s="27">
        <f t="shared" si="0"/>
        <v>158</v>
      </c>
      <c r="I15" s="27">
        <f t="shared" si="1"/>
        <v>15.8</v>
      </c>
      <c r="J15" s="13" t="s">
        <v>42</v>
      </c>
      <c r="K15" s="13" t="s">
        <v>46</v>
      </c>
    </row>
    <row r="16" spans="1:11" x14ac:dyDescent="0.3">
      <c r="A16" s="11" t="s">
        <v>40</v>
      </c>
      <c r="B16" s="11">
        <v>1</v>
      </c>
      <c r="C16" s="11">
        <v>1015</v>
      </c>
      <c r="D16" s="11">
        <v>2877</v>
      </c>
      <c r="E16" s="11" t="s">
        <v>44</v>
      </c>
      <c r="F16" s="26">
        <v>11.4</v>
      </c>
      <c r="G16" s="26">
        <v>16.3</v>
      </c>
      <c r="H16" s="26">
        <f t="shared" si="0"/>
        <v>4.9000000000000004</v>
      </c>
      <c r="I16" s="26">
        <f t="shared" si="1"/>
        <v>0.49000000000000005</v>
      </c>
      <c r="J16" s="11" t="s">
        <v>52</v>
      </c>
      <c r="K16" s="11" t="s">
        <v>49</v>
      </c>
    </row>
    <row r="17" spans="1:11" x14ac:dyDescent="0.3">
      <c r="A17" s="13" t="s">
        <v>40</v>
      </c>
      <c r="B17" s="13">
        <v>1</v>
      </c>
      <c r="C17" s="13">
        <v>1016</v>
      </c>
      <c r="D17" s="13">
        <v>2499</v>
      </c>
      <c r="E17" s="13" t="s">
        <v>47</v>
      </c>
      <c r="F17" s="27">
        <v>6.2</v>
      </c>
      <c r="G17" s="27">
        <v>9.1999999999999993</v>
      </c>
      <c r="H17" s="27">
        <f t="shared" si="0"/>
        <v>2.9999999999999991</v>
      </c>
      <c r="I17" s="27">
        <f t="shared" si="1"/>
        <v>0.29999999999999993</v>
      </c>
      <c r="J17" s="13" t="s">
        <v>48</v>
      </c>
      <c r="K17" s="13" t="s">
        <v>46</v>
      </c>
    </row>
    <row r="18" spans="1:11" x14ac:dyDescent="0.3">
      <c r="A18" s="11" t="s">
        <v>56</v>
      </c>
      <c r="B18" s="11">
        <v>2</v>
      </c>
      <c r="C18" s="11">
        <v>1017</v>
      </c>
      <c r="D18" s="11">
        <v>2242</v>
      </c>
      <c r="E18" s="11" t="s">
        <v>57</v>
      </c>
      <c r="F18" s="26">
        <v>60</v>
      </c>
      <c r="G18" s="26">
        <v>124</v>
      </c>
      <c r="H18" s="26">
        <f t="shared" si="0"/>
        <v>64</v>
      </c>
      <c r="I18" s="26">
        <f t="shared" si="1"/>
        <v>6.4</v>
      </c>
      <c r="J18" s="11" t="s">
        <v>45</v>
      </c>
      <c r="K18" s="11" t="s">
        <v>43</v>
      </c>
    </row>
    <row r="19" spans="1:11" x14ac:dyDescent="0.3">
      <c r="A19" s="13" t="s">
        <v>56</v>
      </c>
      <c r="B19" s="13">
        <v>2</v>
      </c>
      <c r="C19" s="13">
        <v>1018</v>
      </c>
      <c r="D19" s="13">
        <v>1109</v>
      </c>
      <c r="E19" s="13" t="s">
        <v>51</v>
      </c>
      <c r="F19" s="27">
        <v>3</v>
      </c>
      <c r="G19" s="27">
        <v>8</v>
      </c>
      <c r="H19" s="27">
        <f t="shared" si="0"/>
        <v>5</v>
      </c>
      <c r="I19" s="27">
        <f t="shared" si="1"/>
        <v>0.5</v>
      </c>
      <c r="J19" s="13" t="s">
        <v>48</v>
      </c>
      <c r="K19" s="13" t="s">
        <v>46</v>
      </c>
    </row>
    <row r="20" spans="1:11" x14ac:dyDescent="0.3">
      <c r="A20" s="11" t="s">
        <v>56</v>
      </c>
      <c r="B20" s="11">
        <v>2</v>
      </c>
      <c r="C20" s="11">
        <v>1019</v>
      </c>
      <c r="D20" s="11">
        <v>2499</v>
      </c>
      <c r="E20" s="11" t="s">
        <v>47</v>
      </c>
      <c r="F20" s="26">
        <v>6.2</v>
      </c>
      <c r="G20" s="26">
        <v>9.1999999999999993</v>
      </c>
      <c r="H20" s="26">
        <f t="shared" si="0"/>
        <v>2.9999999999999991</v>
      </c>
      <c r="I20" s="26">
        <f t="shared" si="1"/>
        <v>0.29999999999999993</v>
      </c>
      <c r="J20" s="11" t="s">
        <v>48</v>
      </c>
      <c r="K20" s="11" t="s">
        <v>53</v>
      </c>
    </row>
    <row r="21" spans="1:11" x14ac:dyDescent="0.3">
      <c r="A21" s="13" t="s">
        <v>56</v>
      </c>
      <c r="B21" s="13">
        <v>2</v>
      </c>
      <c r="C21" s="13">
        <v>1020</v>
      </c>
      <c r="D21" s="13">
        <v>2499</v>
      </c>
      <c r="E21" s="13" t="s">
        <v>47</v>
      </c>
      <c r="F21" s="27">
        <v>6.2</v>
      </c>
      <c r="G21" s="27">
        <v>9.1999999999999993</v>
      </c>
      <c r="H21" s="27">
        <f t="shared" si="0"/>
        <v>2.9999999999999991</v>
      </c>
      <c r="I21" s="27">
        <f t="shared" si="1"/>
        <v>0.29999999999999993</v>
      </c>
      <c r="J21" s="13" t="s">
        <v>48</v>
      </c>
      <c r="K21" s="13" t="s">
        <v>58</v>
      </c>
    </row>
    <row r="22" spans="1:11" x14ac:dyDescent="0.3">
      <c r="A22" s="11" t="s">
        <v>56</v>
      </c>
      <c r="B22" s="11">
        <v>2</v>
      </c>
      <c r="C22" s="11">
        <v>1021</v>
      </c>
      <c r="D22" s="11">
        <v>1109</v>
      </c>
      <c r="E22" s="11" t="s">
        <v>51</v>
      </c>
      <c r="F22" s="26">
        <v>3</v>
      </c>
      <c r="G22" s="26">
        <v>8</v>
      </c>
      <c r="H22" s="26">
        <f t="shared" si="0"/>
        <v>5</v>
      </c>
      <c r="I22" s="26">
        <f t="shared" si="1"/>
        <v>0.5</v>
      </c>
      <c r="J22" s="11" t="s">
        <v>45</v>
      </c>
      <c r="K22" s="11" t="s">
        <v>53</v>
      </c>
    </row>
    <row r="23" spans="1:11" x14ac:dyDescent="0.3">
      <c r="A23" s="13" t="s">
        <v>56</v>
      </c>
      <c r="B23" s="13">
        <v>2</v>
      </c>
      <c r="C23" s="13">
        <v>1022</v>
      </c>
      <c r="D23" s="13">
        <v>2877</v>
      </c>
      <c r="E23" s="13" t="s">
        <v>44</v>
      </c>
      <c r="F23" s="27">
        <v>11.4</v>
      </c>
      <c r="G23" s="27">
        <v>16.3</v>
      </c>
      <c r="H23" s="27">
        <f t="shared" si="0"/>
        <v>4.9000000000000004</v>
      </c>
      <c r="I23" s="27">
        <f t="shared" si="1"/>
        <v>0.49000000000000005</v>
      </c>
      <c r="J23" s="13" t="s">
        <v>48</v>
      </c>
      <c r="K23" s="13" t="s">
        <v>59</v>
      </c>
    </row>
    <row r="24" spans="1:11" x14ac:dyDescent="0.3">
      <c r="A24" s="11" t="s">
        <v>56</v>
      </c>
      <c r="B24" s="11">
        <v>2</v>
      </c>
      <c r="C24" s="11">
        <v>1023</v>
      </c>
      <c r="D24" s="11">
        <v>1109</v>
      </c>
      <c r="E24" s="11" t="s">
        <v>51</v>
      </c>
      <c r="F24" s="26">
        <v>3</v>
      </c>
      <c r="G24" s="26">
        <v>8</v>
      </c>
      <c r="H24" s="26">
        <f t="shared" si="0"/>
        <v>5</v>
      </c>
      <c r="I24" s="26">
        <f t="shared" si="1"/>
        <v>0.5</v>
      </c>
      <c r="J24" s="11" t="s">
        <v>52</v>
      </c>
      <c r="K24" s="11" t="s">
        <v>43</v>
      </c>
    </row>
    <row r="25" spans="1:11" x14ac:dyDescent="0.3">
      <c r="A25" s="13" t="s">
        <v>56</v>
      </c>
      <c r="B25" s="13">
        <v>2</v>
      </c>
      <c r="C25" s="13">
        <v>1024</v>
      </c>
      <c r="D25" s="13">
        <v>9212</v>
      </c>
      <c r="E25" s="13" t="s">
        <v>55</v>
      </c>
      <c r="F25" s="27">
        <v>4</v>
      </c>
      <c r="G25" s="27">
        <v>7</v>
      </c>
      <c r="H25" s="27">
        <f t="shared" si="0"/>
        <v>3</v>
      </c>
      <c r="I25" s="27">
        <f t="shared" si="1"/>
        <v>0.30000000000000004</v>
      </c>
      <c r="J25" s="13" t="s">
        <v>45</v>
      </c>
      <c r="K25" s="13" t="s">
        <v>59</v>
      </c>
    </row>
    <row r="26" spans="1:11" x14ac:dyDescent="0.3">
      <c r="A26" s="11" t="s">
        <v>56</v>
      </c>
      <c r="B26" s="11">
        <v>2</v>
      </c>
      <c r="C26" s="11">
        <v>1025</v>
      </c>
      <c r="D26" s="11">
        <v>2877</v>
      </c>
      <c r="E26" s="11" t="s">
        <v>44</v>
      </c>
      <c r="F26" s="26">
        <v>11.4</v>
      </c>
      <c r="G26" s="26">
        <v>16.3</v>
      </c>
      <c r="H26" s="26">
        <f t="shared" si="0"/>
        <v>4.9000000000000004</v>
      </c>
      <c r="I26" s="26">
        <f t="shared" si="1"/>
        <v>0.49000000000000005</v>
      </c>
      <c r="J26" s="11" t="s">
        <v>52</v>
      </c>
      <c r="K26" s="11" t="s">
        <v>58</v>
      </c>
    </row>
    <row r="27" spans="1:11" x14ac:dyDescent="0.3">
      <c r="A27" s="13" t="s">
        <v>56</v>
      </c>
      <c r="B27" s="13">
        <v>2</v>
      </c>
      <c r="C27" s="13">
        <v>1026</v>
      </c>
      <c r="D27" s="13">
        <v>6119</v>
      </c>
      <c r="E27" s="13" t="s">
        <v>60</v>
      </c>
      <c r="F27" s="27">
        <v>9</v>
      </c>
      <c r="G27" s="27">
        <v>14</v>
      </c>
      <c r="H27" s="27">
        <f t="shared" si="0"/>
        <v>5</v>
      </c>
      <c r="I27" s="27">
        <f t="shared" si="1"/>
        <v>0.5</v>
      </c>
      <c r="J27" s="13" t="s">
        <v>52</v>
      </c>
      <c r="K27" s="13" t="s">
        <v>43</v>
      </c>
    </row>
    <row r="28" spans="1:11" x14ac:dyDescent="0.3">
      <c r="A28" s="11" t="s">
        <v>56</v>
      </c>
      <c r="B28" s="11">
        <v>2</v>
      </c>
      <c r="C28" s="11">
        <v>1027</v>
      </c>
      <c r="D28" s="11">
        <v>6119</v>
      </c>
      <c r="E28" s="11" t="s">
        <v>60</v>
      </c>
      <c r="F28" s="26">
        <v>9</v>
      </c>
      <c r="G28" s="26">
        <v>14</v>
      </c>
      <c r="H28" s="26">
        <f t="shared" si="0"/>
        <v>5</v>
      </c>
      <c r="I28" s="26">
        <f t="shared" si="1"/>
        <v>0.5</v>
      </c>
      <c r="J28" s="11" t="s">
        <v>42</v>
      </c>
      <c r="K28" s="11" t="s">
        <v>58</v>
      </c>
    </row>
    <row r="29" spans="1:11" x14ac:dyDescent="0.3">
      <c r="A29" s="13" t="s">
        <v>56</v>
      </c>
      <c r="B29" s="13">
        <v>2</v>
      </c>
      <c r="C29" s="13">
        <v>1028</v>
      </c>
      <c r="D29" s="13">
        <v>8722</v>
      </c>
      <c r="E29" s="13" t="s">
        <v>50</v>
      </c>
      <c r="F29" s="27">
        <v>344</v>
      </c>
      <c r="G29" s="27">
        <v>502</v>
      </c>
      <c r="H29" s="27">
        <f t="shared" si="0"/>
        <v>158</v>
      </c>
      <c r="I29" s="27">
        <f t="shared" si="1"/>
        <v>15.8</v>
      </c>
      <c r="J29" s="13" t="s">
        <v>42</v>
      </c>
      <c r="K29" s="13" t="s">
        <v>49</v>
      </c>
    </row>
    <row r="30" spans="1:11" x14ac:dyDescent="0.3">
      <c r="A30" s="11" t="s">
        <v>56</v>
      </c>
      <c r="B30" s="11">
        <v>2</v>
      </c>
      <c r="C30" s="11">
        <v>1029</v>
      </c>
      <c r="D30" s="11">
        <v>2499</v>
      </c>
      <c r="E30" s="11" t="s">
        <v>47</v>
      </c>
      <c r="F30" s="26">
        <v>6.2</v>
      </c>
      <c r="G30" s="26">
        <v>9.1999999999999993</v>
      </c>
      <c r="H30" s="26">
        <f t="shared" si="0"/>
        <v>2.9999999999999991</v>
      </c>
      <c r="I30" s="26">
        <f t="shared" si="1"/>
        <v>0.29999999999999993</v>
      </c>
      <c r="J30" s="11" t="s">
        <v>45</v>
      </c>
      <c r="K30" s="11" t="s">
        <v>49</v>
      </c>
    </row>
    <row r="31" spans="1:11" x14ac:dyDescent="0.3">
      <c r="A31" s="13" t="s">
        <v>56</v>
      </c>
      <c r="B31" s="13">
        <v>2</v>
      </c>
      <c r="C31" s="13">
        <v>1030</v>
      </c>
      <c r="D31" s="13">
        <v>4421</v>
      </c>
      <c r="E31" s="13" t="s">
        <v>54</v>
      </c>
      <c r="F31" s="27">
        <v>45</v>
      </c>
      <c r="G31" s="27">
        <v>87</v>
      </c>
      <c r="H31" s="27">
        <f t="shared" si="0"/>
        <v>42</v>
      </c>
      <c r="I31" s="27">
        <f t="shared" si="1"/>
        <v>4.2</v>
      </c>
      <c r="J31" s="13" t="s">
        <v>45</v>
      </c>
      <c r="K31" s="13" t="s">
        <v>58</v>
      </c>
    </row>
    <row r="32" spans="1:11" x14ac:dyDescent="0.3">
      <c r="A32" s="11" t="s">
        <v>56</v>
      </c>
      <c r="B32" s="11">
        <v>2</v>
      </c>
      <c r="C32" s="11">
        <v>1031</v>
      </c>
      <c r="D32" s="11">
        <v>1109</v>
      </c>
      <c r="E32" s="11" t="s">
        <v>51</v>
      </c>
      <c r="F32" s="26">
        <v>3</v>
      </c>
      <c r="G32" s="26">
        <v>8</v>
      </c>
      <c r="H32" s="26">
        <f t="shared" si="0"/>
        <v>5</v>
      </c>
      <c r="I32" s="26">
        <f t="shared" si="1"/>
        <v>0.5</v>
      </c>
      <c r="J32" s="11" t="s">
        <v>45</v>
      </c>
      <c r="K32" s="11" t="s">
        <v>46</v>
      </c>
    </row>
    <row r="33" spans="1:11" x14ac:dyDescent="0.3">
      <c r="A33" s="13" t="s">
        <v>56</v>
      </c>
      <c r="B33" s="13">
        <v>2</v>
      </c>
      <c r="C33" s="13">
        <v>1032</v>
      </c>
      <c r="D33" s="13">
        <v>2877</v>
      </c>
      <c r="E33" s="13" t="s">
        <v>44</v>
      </c>
      <c r="F33" s="27">
        <v>11.4</v>
      </c>
      <c r="G33" s="27">
        <v>16.3</v>
      </c>
      <c r="H33" s="27">
        <f t="shared" si="0"/>
        <v>4.9000000000000004</v>
      </c>
      <c r="I33" s="27">
        <f t="shared" si="1"/>
        <v>0.49000000000000005</v>
      </c>
      <c r="J33" s="13" t="s">
        <v>42</v>
      </c>
      <c r="K33" s="13" t="s">
        <v>49</v>
      </c>
    </row>
    <row r="34" spans="1:11" x14ac:dyDescent="0.3">
      <c r="A34" s="11" t="s">
        <v>56</v>
      </c>
      <c r="B34" s="11">
        <v>2</v>
      </c>
      <c r="C34" s="11">
        <v>1033</v>
      </c>
      <c r="D34" s="11">
        <v>9822</v>
      </c>
      <c r="E34" s="11" t="s">
        <v>41</v>
      </c>
      <c r="F34" s="26">
        <v>58.3</v>
      </c>
      <c r="G34" s="26">
        <v>98.4</v>
      </c>
      <c r="H34" s="26">
        <f t="shared" ref="H34:H65" si="2">G34-F34</f>
        <v>40.100000000000009</v>
      </c>
      <c r="I34" s="26">
        <f t="shared" ref="I34:I65" si="3">H34*0.1</f>
        <v>4.0100000000000007</v>
      </c>
      <c r="J34" s="11" t="s">
        <v>45</v>
      </c>
      <c r="K34" s="11" t="s">
        <v>46</v>
      </c>
    </row>
    <row r="35" spans="1:11" x14ac:dyDescent="0.3">
      <c r="A35" s="13" t="s">
        <v>56</v>
      </c>
      <c r="B35" s="13">
        <v>2</v>
      </c>
      <c r="C35" s="13">
        <v>1034</v>
      </c>
      <c r="D35" s="13">
        <v>2877</v>
      </c>
      <c r="E35" s="13" t="s">
        <v>44</v>
      </c>
      <c r="F35" s="27">
        <v>11.4</v>
      </c>
      <c r="G35" s="27">
        <v>16.3</v>
      </c>
      <c r="H35" s="27">
        <f t="shared" si="2"/>
        <v>4.9000000000000004</v>
      </c>
      <c r="I35" s="27">
        <f t="shared" si="3"/>
        <v>0.49000000000000005</v>
      </c>
      <c r="J35" s="13" t="s">
        <v>45</v>
      </c>
      <c r="K35" s="13" t="s">
        <v>53</v>
      </c>
    </row>
    <row r="36" spans="1:11" x14ac:dyDescent="0.3">
      <c r="A36" s="11" t="s">
        <v>61</v>
      </c>
      <c r="B36" s="11">
        <v>3</v>
      </c>
      <c r="C36" s="11">
        <v>1035</v>
      </c>
      <c r="D36" s="11">
        <v>2499</v>
      </c>
      <c r="E36" s="11" t="s">
        <v>47</v>
      </c>
      <c r="F36" s="26">
        <v>6.2</v>
      </c>
      <c r="G36" s="26">
        <v>9.1999999999999993</v>
      </c>
      <c r="H36" s="26">
        <f t="shared" si="2"/>
        <v>2.9999999999999991</v>
      </c>
      <c r="I36" s="26">
        <f t="shared" si="3"/>
        <v>0.29999999999999993</v>
      </c>
      <c r="J36" s="11" t="s">
        <v>52</v>
      </c>
      <c r="K36" s="11" t="s">
        <v>46</v>
      </c>
    </row>
    <row r="37" spans="1:11" x14ac:dyDescent="0.3">
      <c r="A37" s="13" t="s">
        <v>61</v>
      </c>
      <c r="B37" s="13">
        <v>3</v>
      </c>
      <c r="C37" s="13">
        <v>1036</v>
      </c>
      <c r="D37" s="13">
        <v>2499</v>
      </c>
      <c r="E37" s="13" t="s">
        <v>47</v>
      </c>
      <c r="F37" s="27">
        <v>6.2</v>
      </c>
      <c r="G37" s="27">
        <v>9.1999999999999993</v>
      </c>
      <c r="H37" s="27">
        <f t="shared" si="2"/>
        <v>2.9999999999999991</v>
      </c>
      <c r="I37" s="27">
        <f t="shared" si="3"/>
        <v>0.29999999999999993</v>
      </c>
      <c r="J37" s="13" t="s">
        <v>45</v>
      </c>
      <c r="K37" s="13" t="s">
        <v>58</v>
      </c>
    </row>
    <row r="38" spans="1:11" x14ac:dyDescent="0.3">
      <c r="A38" s="11" t="s">
        <v>61</v>
      </c>
      <c r="B38" s="11">
        <v>3</v>
      </c>
      <c r="C38" s="11">
        <v>1037</v>
      </c>
      <c r="D38" s="11">
        <v>6622</v>
      </c>
      <c r="E38" s="11" t="s">
        <v>62</v>
      </c>
      <c r="F38" s="26">
        <v>42</v>
      </c>
      <c r="G38" s="26">
        <v>77</v>
      </c>
      <c r="H38" s="26">
        <f t="shared" si="2"/>
        <v>35</v>
      </c>
      <c r="I38" s="26">
        <f t="shared" si="3"/>
        <v>3.5</v>
      </c>
      <c r="J38" s="11" t="s">
        <v>45</v>
      </c>
      <c r="K38" s="11" t="s">
        <v>58</v>
      </c>
    </row>
    <row r="39" spans="1:11" x14ac:dyDescent="0.3">
      <c r="A39" s="13" t="s">
        <v>61</v>
      </c>
      <c r="B39" s="13">
        <v>3</v>
      </c>
      <c r="C39" s="13">
        <v>1038</v>
      </c>
      <c r="D39" s="13">
        <v>2499</v>
      </c>
      <c r="E39" s="13" t="s">
        <v>47</v>
      </c>
      <c r="F39" s="27">
        <v>6.2</v>
      </c>
      <c r="G39" s="27">
        <v>9.1999999999999993</v>
      </c>
      <c r="H39" s="27">
        <f t="shared" si="2"/>
        <v>2.9999999999999991</v>
      </c>
      <c r="I39" s="27">
        <f t="shared" si="3"/>
        <v>0.29999999999999993</v>
      </c>
      <c r="J39" s="13" t="s">
        <v>45</v>
      </c>
      <c r="K39" s="13" t="s">
        <v>58</v>
      </c>
    </row>
    <row r="40" spans="1:11" x14ac:dyDescent="0.3">
      <c r="A40" s="11" t="s">
        <v>61</v>
      </c>
      <c r="B40" s="11">
        <v>3</v>
      </c>
      <c r="C40" s="11">
        <v>1039</v>
      </c>
      <c r="D40" s="11">
        <v>2877</v>
      </c>
      <c r="E40" s="11" t="s">
        <v>44</v>
      </c>
      <c r="F40" s="26">
        <v>11.4</v>
      </c>
      <c r="G40" s="26">
        <v>16.3</v>
      </c>
      <c r="H40" s="26">
        <f t="shared" si="2"/>
        <v>4.9000000000000004</v>
      </c>
      <c r="I40" s="26">
        <f t="shared" si="3"/>
        <v>0.49000000000000005</v>
      </c>
      <c r="J40" s="11" t="s">
        <v>45</v>
      </c>
      <c r="K40" s="11" t="s">
        <v>46</v>
      </c>
    </row>
    <row r="41" spans="1:11" x14ac:dyDescent="0.3">
      <c r="A41" s="13" t="s">
        <v>61</v>
      </c>
      <c r="B41" s="13">
        <v>3</v>
      </c>
      <c r="C41" s="13">
        <v>1040</v>
      </c>
      <c r="D41" s="13">
        <v>1109</v>
      </c>
      <c r="E41" s="13" t="s">
        <v>51</v>
      </c>
      <c r="F41" s="27">
        <v>3</v>
      </c>
      <c r="G41" s="27">
        <v>8</v>
      </c>
      <c r="H41" s="27">
        <f t="shared" si="2"/>
        <v>5</v>
      </c>
      <c r="I41" s="27">
        <f t="shared" si="3"/>
        <v>0.5</v>
      </c>
      <c r="J41" s="13" t="s">
        <v>45</v>
      </c>
      <c r="K41" s="13" t="s">
        <v>49</v>
      </c>
    </row>
    <row r="42" spans="1:11" x14ac:dyDescent="0.3">
      <c r="A42" s="11" t="s">
        <v>61</v>
      </c>
      <c r="B42" s="11">
        <v>3</v>
      </c>
      <c r="C42" s="11">
        <v>1041</v>
      </c>
      <c r="D42" s="11">
        <v>2499</v>
      </c>
      <c r="E42" s="11" t="s">
        <v>47</v>
      </c>
      <c r="F42" s="26">
        <v>6.2</v>
      </c>
      <c r="G42" s="26">
        <v>9.1999999999999993</v>
      </c>
      <c r="H42" s="26">
        <f t="shared" si="2"/>
        <v>2.9999999999999991</v>
      </c>
      <c r="I42" s="26">
        <f t="shared" si="3"/>
        <v>0.29999999999999993</v>
      </c>
      <c r="J42" s="11" t="s">
        <v>42</v>
      </c>
      <c r="K42" s="11" t="s">
        <v>43</v>
      </c>
    </row>
    <row r="43" spans="1:11" x14ac:dyDescent="0.3">
      <c r="A43" s="13" t="s">
        <v>61</v>
      </c>
      <c r="B43" s="13">
        <v>3</v>
      </c>
      <c r="C43" s="13">
        <v>1042</v>
      </c>
      <c r="D43" s="13">
        <v>8722</v>
      </c>
      <c r="E43" s="13" t="s">
        <v>50</v>
      </c>
      <c r="F43" s="27">
        <v>344</v>
      </c>
      <c r="G43" s="27">
        <v>502</v>
      </c>
      <c r="H43" s="27">
        <f t="shared" si="2"/>
        <v>158</v>
      </c>
      <c r="I43" s="27">
        <f t="shared" si="3"/>
        <v>15.8</v>
      </c>
      <c r="J43" s="13" t="s">
        <v>48</v>
      </c>
      <c r="K43" s="13" t="s">
        <v>43</v>
      </c>
    </row>
    <row r="44" spans="1:11" x14ac:dyDescent="0.3">
      <c r="A44" s="11" t="s">
        <v>61</v>
      </c>
      <c r="B44" s="11">
        <v>3</v>
      </c>
      <c r="C44" s="11">
        <v>1043</v>
      </c>
      <c r="D44" s="11">
        <v>2242</v>
      </c>
      <c r="E44" s="11" t="s">
        <v>57</v>
      </c>
      <c r="F44" s="26">
        <v>60</v>
      </c>
      <c r="G44" s="26">
        <v>124</v>
      </c>
      <c r="H44" s="26">
        <f t="shared" si="2"/>
        <v>64</v>
      </c>
      <c r="I44" s="26">
        <f t="shared" si="3"/>
        <v>6.4</v>
      </c>
      <c r="J44" s="11" t="s">
        <v>48</v>
      </c>
      <c r="K44" s="11" t="s">
        <v>46</v>
      </c>
    </row>
    <row r="45" spans="1:11" x14ac:dyDescent="0.3">
      <c r="A45" s="13" t="s">
        <v>61</v>
      </c>
      <c r="B45" s="13">
        <v>3</v>
      </c>
      <c r="C45" s="13">
        <v>1044</v>
      </c>
      <c r="D45" s="13">
        <v>2877</v>
      </c>
      <c r="E45" s="13" t="s">
        <v>44</v>
      </c>
      <c r="F45" s="27">
        <v>11.4</v>
      </c>
      <c r="G45" s="27">
        <v>16.3</v>
      </c>
      <c r="H45" s="27">
        <f t="shared" si="2"/>
        <v>4.9000000000000004</v>
      </c>
      <c r="I45" s="27">
        <f t="shared" si="3"/>
        <v>0.49000000000000005</v>
      </c>
      <c r="J45" s="13" t="s">
        <v>48</v>
      </c>
      <c r="K45" s="13" t="s">
        <v>46</v>
      </c>
    </row>
    <row r="46" spans="1:11" x14ac:dyDescent="0.3">
      <c r="A46" s="11" t="s">
        <v>61</v>
      </c>
      <c r="B46" s="11">
        <v>3</v>
      </c>
      <c r="C46" s="11">
        <v>1045</v>
      </c>
      <c r="D46" s="11">
        <v>8722</v>
      </c>
      <c r="E46" s="11" t="s">
        <v>50</v>
      </c>
      <c r="F46" s="26">
        <v>344</v>
      </c>
      <c r="G46" s="26">
        <v>502</v>
      </c>
      <c r="H46" s="26">
        <f t="shared" si="2"/>
        <v>158</v>
      </c>
      <c r="I46" s="26">
        <f t="shared" si="3"/>
        <v>15.8</v>
      </c>
      <c r="J46" s="11" t="s">
        <v>52</v>
      </c>
      <c r="K46" s="11" t="s">
        <v>49</v>
      </c>
    </row>
    <row r="47" spans="1:11" x14ac:dyDescent="0.3">
      <c r="A47" s="13" t="s">
        <v>61</v>
      </c>
      <c r="B47" s="13">
        <v>3</v>
      </c>
      <c r="C47" s="13">
        <v>1046</v>
      </c>
      <c r="D47" s="13">
        <v>6119</v>
      </c>
      <c r="E47" s="13" t="s">
        <v>60</v>
      </c>
      <c r="F47" s="27">
        <v>9</v>
      </c>
      <c r="G47" s="27">
        <v>14</v>
      </c>
      <c r="H47" s="27">
        <f t="shared" si="2"/>
        <v>5</v>
      </c>
      <c r="I47" s="27">
        <f t="shared" si="3"/>
        <v>0.5</v>
      </c>
      <c r="J47" s="13" t="s">
        <v>45</v>
      </c>
      <c r="K47" s="13" t="s">
        <v>59</v>
      </c>
    </row>
    <row r="48" spans="1:11" x14ac:dyDescent="0.3">
      <c r="A48" s="11" t="s">
        <v>61</v>
      </c>
      <c r="B48" s="11">
        <v>3</v>
      </c>
      <c r="C48" s="11">
        <v>1047</v>
      </c>
      <c r="D48" s="11">
        <v>6622</v>
      </c>
      <c r="E48" s="11" t="s">
        <v>62</v>
      </c>
      <c r="F48" s="26">
        <v>42</v>
      </c>
      <c r="G48" s="26">
        <v>77</v>
      </c>
      <c r="H48" s="26">
        <f t="shared" si="2"/>
        <v>35</v>
      </c>
      <c r="I48" s="26">
        <f t="shared" si="3"/>
        <v>3.5</v>
      </c>
      <c r="J48" s="11" t="s">
        <v>52</v>
      </c>
      <c r="K48" s="11" t="s">
        <v>49</v>
      </c>
    </row>
    <row r="49" spans="1:11" x14ac:dyDescent="0.3">
      <c r="A49" s="13" t="s">
        <v>61</v>
      </c>
      <c r="B49" s="13">
        <v>3</v>
      </c>
      <c r="C49" s="13">
        <v>1048</v>
      </c>
      <c r="D49" s="13">
        <v>8722</v>
      </c>
      <c r="E49" s="13" t="s">
        <v>50</v>
      </c>
      <c r="F49" s="27">
        <v>344</v>
      </c>
      <c r="G49" s="27">
        <v>502</v>
      </c>
      <c r="H49" s="27">
        <f t="shared" si="2"/>
        <v>158</v>
      </c>
      <c r="I49" s="27">
        <f t="shared" si="3"/>
        <v>15.8</v>
      </c>
      <c r="J49" s="13" t="s">
        <v>42</v>
      </c>
      <c r="K49" s="13" t="s">
        <v>49</v>
      </c>
    </row>
    <row r="50" spans="1:11" x14ac:dyDescent="0.3">
      <c r="A50" s="11" t="s">
        <v>63</v>
      </c>
      <c r="B50" s="11">
        <v>4</v>
      </c>
      <c r="C50" s="11">
        <v>1049</v>
      </c>
      <c r="D50" s="11">
        <v>2499</v>
      </c>
      <c r="E50" s="11" t="s">
        <v>47</v>
      </c>
      <c r="F50" s="26">
        <v>6.2</v>
      </c>
      <c r="G50" s="26">
        <v>9.1999999999999993</v>
      </c>
      <c r="H50" s="26">
        <f t="shared" si="2"/>
        <v>2.9999999999999991</v>
      </c>
      <c r="I50" s="26">
        <f t="shared" si="3"/>
        <v>0.29999999999999993</v>
      </c>
      <c r="J50" s="11" t="s">
        <v>42</v>
      </c>
      <c r="K50" s="11" t="s">
        <v>53</v>
      </c>
    </row>
    <row r="51" spans="1:11" x14ac:dyDescent="0.3">
      <c r="A51" s="13" t="s">
        <v>63</v>
      </c>
      <c r="B51" s="13">
        <v>4</v>
      </c>
      <c r="C51" s="13">
        <v>1050</v>
      </c>
      <c r="D51" s="13">
        <v>2877</v>
      </c>
      <c r="E51" s="13" t="s">
        <v>44</v>
      </c>
      <c r="F51" s="27">
        <v>11.4</v>
      </c>
      <c r="G51" s="27">
        <v>16.3</v>
      </c>
      <c r="H51" s="27">
        <f t="shared" si="2"/>
        <v>4.9000000000000004</v>
      </c>
      <c r="I51" s="27">
        <f t="shared" si="3"/>
        <v>0.49000000000000005</v>
      </c>
      <c r="J51" s="13" t="s">
        <v>42</v>
      </c>
      <c r="K51" s="13" t="s">
        <v>49</v>
      </c>
    </row>
    <row r="52" spans="1:11" x14ac:dyDescent="0.3">
      <c r="A52" s="11" t="s">
        <v>63</v>
      </c>
      <c r="B52" s="11">
        <v>4</v>
      </c>
      <c r="C52" s="11">
        <v>1051</v>
      </c>
      <c r="D52" s="11">
        <v>6119</v>
      </c>
      <c r="E52" s="11" t="s">
        <v>60</v>
      </c>
      <c r="F52" s="26">
        <v>9</v>
      </c>
      <c r="G52" s="26">
        <v>14</v>
      </c>
      <c r="H52" s="26">
        <f t="shared" si="2"/>
        <v>5</v>
      </c>
      <c r="I52" s="26">
        <f t="shared" si="3"/>
        <v>0.5</v>
      </c>
      <c r="J52" s="11" t="s">
        <v>48</v>
      </c>
      <c r="K52" s="11" t="s">
        <v>59</v>
      </c>
    </row>
    <row r="53" spans="1:11" x14ac:dyDescent="0.3">
      <c r="A53" s="13" t="s">
        <v>63</v>
      </c>
      <c r="B53" s="13">
        <v>4</v>
      </c>
      <c r="C53" s="13">
        <v>1052</v>
      </c>
      <c r="D53" s="13">
        <v>6622</v>
      </c>
      <c r="E53" s="13" t="s">
        <v>62</v>
      </c>
      <c r="F53" s="27">
        <v>42</v>
      </c>
      <c r="G53" s="27">
        <v>77</v>
      </c>
      <c r="H53" s="27">
        <f t="shared" si="2"/>
        <v>35</v>
      </c>
      <c r="I53" s="27">
        <f t="shared" si="3"/>
        <v>3.5</v>
      </c>
      <c r="J53" s="13" t="s">
        <v>48</v>
      </c>
      <c r="K53" s="13" t="s">
        <v>49</v>
      </c>
    </row>
    <row r="54" spans="1:11" x14ac:dyDescent="0.3">
      <c r="A54" s="11" t="s">
        <v>63</v>
      </c>
      <c r="B54" s="11">
        <v>4</v>
      </c>
      <c r="C54" s="11">
        <v>1053</v>
      </c>
      <c r="D54" s="11">
        <v>2242</v>
      </c>
      <c r="E54" s="11" t="s">
        <v>57</v>
      </c>
      <c r="F54" s="26">
        <v>60</v>
      </c>
      <c r="G54" s="26">
        <v>124</v>
      </c>
      <c r="H54" s="26">
        <f t="shared" si="2"/>
        <v>64</v>
      </c>
      <c r="I54" s="26">
        <f t="shared" si="3"/>
        <v>6.4</v>
      </c>
      <c r="J54" s="11" t="s">
        <v>42</v>
      </c>
      <c r="K54" s="11" t="s">
        <v>46</v>
      </c>
    </row>
    <row r="55" spans="1:11" x14ac:dyDescent="0.3">
      <c r="A55" s="13" t="s">
        <v>63</v>
      </c>
      <c r="B55" s="13">
        <v>4</v>
      </c>
      <c r="C55" s="13">
        <v>1054</v>
      </c>
      <c r="D55" s="13">
        <v>4421</v>
      </c>
      <c r="E55" s="13" t="s">
        <v>54</v>
      </c>
      <c r="F55" s="27">
        <v>45</v>
      </c>
      <c r="G55" s="27">
        <v>87</v>
      </c>
      <c r="H55" s="27">
        <f t="shared" si="2"/>
        <v>42</v>
      </c>
      <c r="I55" s="27">
        <f t="shared" si="3"/>
        <v>4.2</v>
      </c>
      <c r="J55" s="13" t="s">
        <v>48</v>
      </c>
      <c r="K55" s="13" t="s">
        <v>58</v>
      </c>
    </row>
    <row r="56" spans="1:11" x14ac:dyDescent="0.3">
      <c r="A56" s="11" t="s">
        <v>63</v>
      </c>
      <c r="B56" s="11">
        <v>4</v>
      </c>
      <c r="C56" s="11">
        <v>1055</v>
      </c>
      <c r="D56" s="11">
        <v>6119</v>
      </c>
      <c r="E56" s="11" t="s">
        <v>60</v>
      </c>
      <c r="F56" s="26">
        <v>9</v>
      </c>
      <c r="G56" s="26">
        <v>14</v>
      </c>
      <c r="H56" s="26">
        <f t="shared" si="2"/>
        <v>5</v>
      </c>
      <c r="I56" s="26">
        <f t="shared" si="3"/>
        <v>0.5</v>
      </c>
      <c r="J56" s="11" t="s">
        <v>45</v>
      </c>
      <c r="K56" s="11" t="s">
        <v>58</v>
      </c>
    </row>
    <row r="57" spans="1:11" x14ac:dyDescent="0.3">
      <c r="A57" s="13" t="s">
        <v>63</v>
      </c>
      <c r="B57" s="13">
        <v>4</v>
      </c>
      <c r="C57" s="13">
        <v>1056</v>
      </c>
      <c r="D57" s="13">
        <v>1109</v>
      </c>
      <c r="E57" s="13" t="s">
        <v>51</v>
      </c>
      <c r="F57" s="27">
        <v>3</v>
      </c>
      <c r="G57" s="27">
        <v>8</v>
      </c>
      <c r="H57" s="27">
        <f t="shared" si="2"/>
        <v>5</v>
      </c>
      <c r="I57" s="27">
        <f t="shared" si="3"/>
        <v>0.5</v>
      </c>
      <c r="J57" s="13" t="s">
        <v>48</v>
      </c>
      <c r="K57" s="13" t="s">
        <v>46</v>
      </c>
    </row>
    <row r="58" spans="1:11" x14ac:dyDescent="0.3">
      <c r="A58" s="11" t="s">
        <v>63</v>
      </c>
      <c r="B58" s="11">
        <v>4</v>
      </c>
      <c r="C58" s="11">
        <v>1057</v>
      </c>
      <c r="D58" s="11">
        <v>2499</v>
      </c>
      <c r="E58" s="11" t="s">
        <v>47</v>
      </c>
      <c r="F58" s="26">
        <v>6.2</v>
      </c>
      <c r="G58" s="26">
        <v>9.1999999999999993</v>
      </c>
      <c r="H58" s="26">
        <f t="shared" si="2"/>
        <v>2.9999999999999991</v>
      </c>
      <c r="I58" s="26">
        <f t="shared" si="3"/>
        <v>0.29999999999999993</v>
      </c>
      <c r="J58" s="11" t="s">
        <v>45</v>
      </c>
      <c r="K58" s="11" t="s">
        <v>46</v>
      </c>
    </row>
    <row r="59" spans="1:11" x14ac:dyDescent="0.3">
      <c r="A59" s="13" t="s">
        <v>63</v>
      </c>
      <c r="B59" s="13">
        <v>4</v>
      </c>
      <c r="C59" s="13">
        <v>1058</v>
      </c>
      <c r="D59" s="13">
        <v>6119</v>
      </c>
      <c r="E59" s="13" t="s">
        <v>60</v>
      </c>
      <c r="F59" s="27">
        <v>9</v>
      </c>
      <c r="G59" s="27">
        <v>14</v>
      </c>
      <c r="H59" s="27">
        <f t="shared" si="2"/>
        <v>5</v>
      </c>
      <c r="I59" s="27">
        <f t="shared" si="3"/>
        <v>0.5</v>
      </c>
      <c r="J59" s="13" t="s">
        <v>52</v>
      </c>
      <c r="K59" s="13" t="s">
        <v>49</v>
      </c>
    </row>
    <row r="60" spans="1:11" x14ac:dyDescent="0.3">
      <c r="A60" s="11" t="s">
        <v>63</v>
      </c>
      <c r="B60" s="11">
        <v>4</v>
      </c>
      <c r="C60" s="11">
        <v>1059</v>
      </c>
      <c r="D60" s="11">
        <v>2242</v>
      </c>
      <c r="E60" s="11" t="s">
        <v>57</v>
      </c>
      <c r="F60" s="26">
        <v>60</v>
      </c>
      <c r="G60" s="26">
        <v>124</v>
      </c>
      <c r="H60" s="26">
        <f t="shared" si="2"/>
        <v>64</v>
      </c>
      <c r="I60" s="26">
        <f t="shared" si="3"/>
        <v>6.4</v>
      </c>
      <c r="J60" s="11" t="s">
        <v>48</v>
      </c>
      <c r="K60" s="11" t="s">
        <v>49</v>
      </c>
    </row>
    <row r="61" spans="1:11" x14ac:dyDescent="0.3">
      <c r="A61" s="13" t="s">
        <v>63</v>
      </c>
      <c r="B61" s="13">
        <v>4</v>
      </c>
      <c r="C61" s="13">
        <v>1060</v>
      </c>
      <c r="D61" s="13">
        <v>6119</v>
      </c>
      <c r="E61" s="13" t="s">
        <v>60</v>
      </c>
      <c r="F61" s="27">
        <v>9</v>
      </c>
      <c r="G61" s="27">
        <v>14</v>
      </c>
      <c r="H61" s="27">
        <f t="shared" si="2"/>
        <v>5</v>
      </c>
      <c r="I61" s="27">
        <f t="shared" si="3"/>
        <v>0.5</v>
      </c>
      <c r="J61" s="13" t="s">
        <v>48</v>
      </c>
      <c r="K61" s="13" t="s">
        <v>58</v>
      </c>
    </row>
    <row r="62" spans="1:11" x14ac:dyDescent="0.3">
      <c r="A62" s="11" t="s">
        <v>64</v>
      </c>
      <c r="B62" s="11">
        <v>5</v>
      </c>
      <c r="C62" s="11">
        <v>1061</v>
      </c>
      <c r="D62" s="11">
        <v>1109</v>
      </c>
      <c r="E62" s="11" t="s">
        <v>51</v>
      </c>
      <c r="F62" s="26">
        <v>3</v>
      </c>
      <c r="G62" s="26">
        <v>8</v>
      </c>
      <c r="H62" s="26">
        <f t="shared" si="2"/>
        <v>5</v>
      </c>
      <c r="I62" s="26">
        <f t="shared" si="3"/>
        <v>0.5</v>
      </c>
      <c r="J62" s="11" t="s">
        <v>48</v>
      </c>
      <c r="K62" s="11" t="s">
        <v>58</v>
      </c>
    </row>
    <row r="63" spans="1:11" x14ac:dyDescent="0.3">
      <c r="A63" s="13" t="s">
        <v>64</v>
      </c>
      <c r="B63" s="13">
        <v>5</v>
      </c>
      <c r="C63" s="13">
        <v>1062</v>
      </c>
      <c r="D63" s="13">
        <v>2499</v>
      </c>
      <c r="E63" s="13" t="s">
        <v>47</v>
      </c>
      <c r="F63" s="27">
        <v>6.2</v>
      </c>
      <c r="G63" s="27">
        <v>9.1999999999999993</v>
      </c>
      <c r="H63" s="27">
        <f t="shared" si="2"/>
        <v>2.9999999999999991</v>
      </c>
      <c r="I63" s="27">
        <f t="shared" si="3"/>
        <v>0.29999999999999993</v>
      </c>
      <c r="J63" s="13" t="s">
        <v>42</v>
      </c>
      <c r="K63" s="13" t="s">
        <v>49</v>
      </c>
    </row>
    <row r="64" spans="1:11" x14ac:dyDescent="0.3">
      <c r="A64" s="11" t="s">
        <v>64</v>
      </c>
      <c r="B64" s="11">
        <v>5</v>
      </c>
      <c r="C64" s="11">
        <v>1063</v>
      </c>
      <c r="D64" s="11">
        <v>1109</v>
      </c>
      <c r="E64" s="11" t="s">
        <v>51</v>
      </c>
      <c r="F64" s="26">
        <v>3</v>
      </c>
      <c r="G64" s="26">
        <v>8</v>
      </c>
      <c r="H64" s="26">
        <f t="shared" si="2"/>
        <v>5</v>
      </c>
      <c r="I64" s="26">
        <f t="shared" si="3"/>
        <v>0.5</v>
      </c>
      <c r="J64" s="11" t="s">
        <v>48</v>
      </c>
      <c r="K64" s="11" t="s">
        <v>46</v>
      </c>
    </row>
    <row r="65" spans="1:11" x14ac:dyDescent="0.3">
      <c r="A65" s="13" t="s">
        <v>64</v>
      </c>
      <c r="B65" s="13">
        <v>5</v>
      </c>
      <c r="C65" s="13">
        <v>1064</v>
      </c>
      <c r="D65" s="13">
        <v>2499</v>
      </c>
      <c r="E65" s="13" t="s">
        <v>47</v>
      </c>
      <c r="F65" s="27">
        <v>6.2</v>
      </c>
      <c r="G65" s="27">
        <v>9.1999999999999993</v>
      </c>
      <c r="H65" s="27">
        <f t="shared" si="2"/>
        <v>2.9999999999999991</v>
      </c>
      <c r="I65" s="27">
        <f t="shared" si="3"/>
        <v>0.29999999999999993</v>
      </c>
      <c r="J65" s="13" t="s">
        <v>52</v>
      </c>
      <c r="K65" s="13" t="s">
        <v>49</v>
      </c>
    </row>
    <row r="66" spans="1:11" x14ac:dyDescent="0.3">
      <c r="A66" s="11" t="s">
        <v>64</v>
      </c>
      <c r="B66" s="11">
        <v>5</v>
      </c>
      <c r="C66" s="11">
        <v>1065</v>
      </c>
      <c r="D66" s="11">
        <v>2499</v>
      </c>
      <c r="E66" s="11" t="s">
        <v>47</v>
      </c>
      <c r="F66" s="26">
        <v>6.2</v>
      </c>
      <c r="G66" s="26">
        <v>9.1999999999999993</v>
      </c>
      <c r="H66" s="26">
        <f t="shared" ref="H66:H97" si="4">G66-F66</f>
        <v>2.9999999999999991</v>
      </c>
      <c r="I66" s="26">
        <f t="shared" ref="I66:I97" si="5">H66*0.1</f>
        <v>0.29999999999999993</v>
      </c>
      <c r="J66" s="11" t="s">
        <v>48</v>
      </c>
      <c r="K66" s="11" t="s">
        <v>43</v>
      </c>
    </row>
    <row r="67" spans="1:11" x14ac:dyDescent="0.3">
      <c r="A67" s="13" t="s">
        <v>64</v>
      </c>
      <c r="B67" s="13">
        <v>5</v>
      </c>
      <c r="C67" s="13">
        <v>1066</v>
      </c>
      <c r="D67" s="13">
        <v>2877</v>
      </c>
      <c r="E67" s="13" t="s">
        <v>44</v>
      </c>
      <c r="F67" s="27">
        <v>11.4</v>
      </c>
      <c r="G67" s="27">
        <v>16.3</v>
      </c>
      <c r="H67" s="27">
        <f t="shared" si="4"/>
        <v>4.9000000000000004</v>
      </c>
      <c r="I67" s="27">
        <f t="shared" si="5"/>
        <v>0.49000000000000005</v>
      </c>
      <c r="J67" s="13" t="s">
        <v>48</v>
      </c>
      <c r="K67" s="13" t="s">
        <v>58</v>
      </c>
    </row>
    <row r="68" spans="1:11" x14ac:dyDescent="0.3">
      <c r="A68" s="11" t="s">
        <v>64</v>
      </c>
      <c r="B68" s="11">
        <v>5</v>
      </c>
      <c r="C68" s="11">
        <v>1067</v>
      </c>
      <c r="D68" s="11">
        <v>2877</v>
      </c>
      <c r="E68" s="11" t="s">
        <v>44</v>
      </c>
      <c r="F68" s="26">
        <v>11.4</v>
      </c>
      <c r="G68" s="26">
        <v>16.3</v>
      </c>
      <c r="H68" s="26">
        <f t="shared" si="4"/>
        <v>4.9000000000000004</v>
      </c>
      <c r="I68" s="26">
        <f t="shared" si="5"/>
        <v>0.49000000000000005</v>
      </c>
      <c r="J68" s="11" t="s">
        <v>48</v>
      </c>
      <c r="K68" s="11" t="s">
        <v>59</v>
      </c>
    </row>
    <row r="69" spans="1:11" x14ac:dyDescent="0.3">
      <c r="A69" s="13" t="s">
        <v>64</v>
      </c>
      <c r="B69" s="13">
        <v>5</v>
      </c>
      <c r="C69" s="13">
        <v>1068</v>
      </c>
      <c r="D69" s="13">
        <v>6119</v>
      </c>
      <c r="E69" s="13" t="s">
        <v>60</v>
      </c>
      <c r="F69" s="27">
        <v>9</v>
      </c>
      <c r="G69" s="27">
        <v>14</v>
      </c>
      <c r="H69" s="27">
        <f t="shared" si="4"/>
        <v>5</v>
      </c>
      <c r="I69" s="27">
        <f t="shared" si="5"/>
        <v>0.5</v>
      </c>
      <c r="J69" s="13" t="s">
        <v>45</v>
      </c>
      <c r="K69" s="13" t="s">
        <v>46</v>
      </c>
    </row>
    <row r="70" spans="1:11" x14ac:dyDescent="0.3">
      <c r="A70" s="11" t="s">
        <v>64</v>
      </c>
      <c r="B70" s="11">
        <v>5</v>
      </c>
      <c r="C70" s="11">
        <v>1069</v>
      </c>
      <c r="D70" s="11">
        <v>1109</v>
      </c>
      <c r="E70" s="11" t="s">
        <v>51</v>
      </c>
      <c r="F70" s="26">
        <v>3</v>
      </c>
      <c r="G70" s="26">
        <v>8</v>
      </c>
      <c r="H70" s="26">
        <f t="shared" si="4"/>
        <v>5</v>
      </c>
      <c r="I70" s="26">
        <f t="shared" si="5"/>
        <v>0.5</v>
      </c>
      <c r="J70" s="11" t="s">
        <v>48</v>
      </c>
      <c r="K70" s="11" t="s">
        <v>49</v>
      </c>
    </row>
    <row r="71" spans="1:11" x14ac:dyDescent="0.3">
      <c r="A71" s="13" t="s">
        <v>64</v>
      </c>
      <c r="B71" s="13">
        <v>5</v>
      </c>
      <c r="C71" s="13">
        <v>1070</v>
      </c>
      <c r="D71" s="13">
        <v>2499</v>
      </c>
      <c r="E71" s="13" t="s">
        <v>47</v>
      </c>
      <c r="F71" s="27">
        <v>6.2</v>
      </c>
      <c r="G71" s="27">
        <v>9.1999999999999993</v>
      </c>
      <c r="H71" s="27">
        <f t="shared" si="4"/>
        <v>2.9999999999999991</v>
      </c>
      <c r="I71" s="27">
        <f t="shared" si="5"/>
        <v>0.29999999999999993</v>
      </c>
      <c r="J71" s="13" t="s">
        <v>52</v>
      </c>
      <c r="K71" s="13" t="s">
        <v>49</v>
      </c>
    </row>
    <row r="72" spans="1:11" x14ac:dyDescent="0.3">
      <c r="A72" s="11" t="s">
        <v>64</v>
      </c>
      <c r="B72" s="11">
        <v>5</v>
      </c>
      <c r="C72" s="11">
        <v>1071</v>
      </c>
      <c r="D72" s="11">
        <v>1109</v>
      </c>
      <c r="E72" s="11" t="s">
        <v>51</v>
      </c>
      <c r="F72" s="26">
        <v>3</v>
      </c>
      <c r="G72" s="26">
        <v>8</v>
      </c>
      <c r="H72" s="26">
        <f t="shared" si="4"/>
        <v>5</v>
      </c>
      <c r="I72" s="26">
        <f t="shared" si="5"/>
        <v>0.5</v>
      </c>
      <c r="J72" s="11" t="s">
        <v>42</v>
      </c>
      <c r="K72" s="11" t="s">
        <v>49</v>
      </c>
    </row>
    <row r="73" spans="1:11" x14ac:dyDescent="0.3">
      <c r="A73" s="13" t="s">
        <v>64</v>
      </c>
      <c r="B73" s="13">
        <v>5</v>
      </c>
      <c r="C73" s="13">
        <v>1072</v>
      </c>
      <c r="D73" s="13">
        <v>1109</v>
      </c>
      <c r="E73" s="13" t="s">
        <v>51</v>
      </c>
      <c r="F73" s="27">
        <v>3</v>
      </c>
      <c r="G73" s="27">
        <v>8</v>
      </c>
      <c r="H73" s="27">
        <f t="shared" si="4"/>
        <v>5</v>
      </c>
      <c r="I73" s="27">
        <f t="shared" si="5"/>
        <v>0.5</v>
      </c>
      <c r="J73" s="13" t="s">
        <v>48</v>
      </c>
      <c r="K73" s="13" t="s">
        <v>58</v>
      </c>
    </row>
    <row r="74" spans="1:11" x14ac:dyDescent="0.3">
      <c r="A74" s="11" t="s">
        <v>64</v>
      </c>
      <c r="B74" s="11">
        <v>5</v>
      </c>
      <c r="C74" s="11">
        <v>1073</v>
      </c>
      <c r="D74" s="11">
        <v>6622</v>
      </c>
      <c r="E74" s="11" t="s">
        <v>62</v>
      </c>
      <c r="F74" s="26">
        <v>42</v>
      </c>
      <c r="G74" s="26">
        <v>77</v>
      </c>
      <c r="H74" s="26">
        <f t="shared" si="4"/>
        <v>35</v>
      </c>
      <c r="I74" s="26">
        <f t="shared" si="5"/>
        <v>3.5</v>
      </c>
      <c r="J74" s="11" t="s">
        <v>48</v>
      </c>
      <c r="K74" s="11" t="s">
        <v>46</v>
      </c>
    </row>
    <row r="75" spans="1:11" x14ac:dyDescent="0.3">
      <c r="A75" s="13" t="s">
        <v>64</v>
      </c>
      <c r="B75" s="13">
        <v>5</v>
      </c>
      <c r="C75" s="13">
        <v>1074</v>
      </c>
      <c r="D75" s="13">
        <v>2877</v>
      </c>
      <c r="E75" s="13" t="s">
        <v>44</v>
      </c>
      <c r="F75" s="27">
        <v>11.4</v>
      </c>
      <c r="G75" s="27">
        <v>16.3</v>
      </c>
      <c r="H75" s="27">
        <f t="shared" si="4"/>
        <v>4.9000000000000004</v>
      </c>
      <c r="I75" s="27">
        <f t="shared" si="5"/>
        <v>0.49000000000000005</v>
      </c>
      <c r="J75" s="13" t="s">
        <v>48</v>
      </c>
      <c r="K75" s="13" t="s">
        <v>49</v>
      </c>
    </row>
    <row r="76" spans="1:11" x14ac:dyDescent="0.3">
      <c r="A76" s="11" t="s">
        <v>64</v>
      </c>
      <c r="B76" s="11">
        <v>5</v>
      </c>
      <c r="C76" s="11">
        <v>1075</v>
      </c>
      <c r="D76" s="11">
        <v>1109</v>
      </c>
      <c r="E76" s="11" t="s">
        <v>51</v>
      </c>
      <c r="F76" s="26">
        <v>3</v>
      </c>
      <c r="G76" s="26">
        <v>8</v>
      </c>
      <c r="H76" s="26">
        <f t="shared" si="4"/>
        <v>5</v>
      </c>
      <c r="I76" s="26">
        <f t="shared" si="5"/>
        <v>0.5</v>
      </c>
      <c r="J76" s="11" t="s">
        <v>52</v>
      </c>
      <c r="K76" s="11" t="s">
        <v>46</v>
      </c>
    </row>
    <row r="77" spans="1:11" x14ac:dyDescent="0.3">
      <c r="A77" s="13" t="s">
        <v>64</v>
      </c>
      <c r="B77" s="13">
        <v>5</v>
      </c>
      <c r="C77" s="13">
        <v>1076</v>
      </c>
      <c r="D77" s="13">
        <v>1109</v>
      </c>
      <c r="E77" s="13" t="s">
        <v>51</v>
      </c>
      <c r="F77" s="27">
        <v>3</v>
      </c>
      <c r="G77" s="27">
        <v>8</v>
      </c>
      <c r="H77" s="27">
        <f t="shared" si="4"/>
        <v>5</v>
      </c>
      <c r="I77" s="27">
        <f t="shared" si="5"/>
        <v>0.5</v>
      </c>
      <c r="J77" s="13" t="s">
        <v>45</v>
      </c>
      <c r="K77" s="13" t="s">
        <v>49</v>
      </c>
    </row>
    <row r="78" spans="1:11" x14ac:dyDescent="0.3">
      <c r="A78" s="11" t="s">
        <v>64</v>
      </c>
      <c r="B78" s="11">
        <v>5</v>
      </c>
      <c r="C78" s="11">
        <v>1077</v>
      </c>
      <c r="D78" s="11">
        <v>9822</v>
      </c>
      <c r="E78" s="11" t="s">
        <v>41</v>
      </c>
      <c r="F78" s="26">
        <v>58.3</v>
      </c>
      <c r="G78" s="26">
        <v>98.4</v>
      </c>
      <c r="H78" s="26">
        <f t="shared" si="4"/>
        <v>40.100000000000009</v>
      </c>
      <c r="I78" s="26">
        <f t="shared" si="5"/>
        <v>4.0100000000000007</v>
      </c>
      <c r="J78" s="11" t="s">
        <v>52</v>
      </c>
      <c r="K78" s="11" t="s">
        <v>49</v>
      </c>
    </row>
    <row r="79" spans="1:11" x14ac:dyDescent="0.3">
      <c r="A79" s="13" t="s">
        <v>64</v>
      </c>
      <c r="B79" s="13">
        <v>5</v>
      </c>
      <c r="C79" s="13">
        <v>1078</v>
      </c>
      <c r="D79" s="13">
        <v>2877</v>
      </c>
      <c r="E79" s="13" t="s">
        <v>44</v>
      </c>
      <c r="F79" s="27">
        <v>11.4</v>
      </c>
      <c r="G79" s="27">
        <v>16.3</v>
      </c>
      <c r="H79" s="27">
        <f t="shared" si="4"/>
        <v>4.9000000000000004</v>
      </c>
      <c r="I79" s="27">
        <f t="shared" si="5"/>
        <v>0.49000000000000005</v>
      </c>
      <c r="J79" s="13" t="s">
        <v>45</v>
      </c>
      <c r="K79" s="13" t="s">
        <v>58</v>
      </c>
    </row>
    <row r="80" spans="1:11" x14ac:dyDescent="0.3">
      <c r="A80" s="11" t="s">
        <v>65</v>
      </c>
      <c r="B80" s="11">
        <v>6</v>
      </c>
      <c r="C80" s="11">
        <v>1079</v>
      </c>
      <c r="D80" s="11">
        <v>2877</v>
      </c>
      <c r="E80" s="11" t="s">
        <v>44</v>
      </c>
      <c r="F80" s="26">
        <v>11.4</v>
      </c>
      <c r="G80" s="26">
        <v>16.3</v>
      </c>
      <c r="H80" s="26">
        <f t="shared" si="4"/>
        <v>4.9000000000000004</v>
      </c>
      <c r="I80" s="26">
        <f t="shared" si="5"/>
        <v>0.49000000000000005</v>
      </c>
      <c r="J80" s="11" t="s">
        <v>45</v>
      </c>
      <c r="K80" s="11" t="s">
        <v>43</v>
      </c>
    </row>
    <row r="81" spans="1:11" x14ac:dyDescent="0.3">
      <c r="A81" s="13" t="s">
        <v>65</v>
      </c>
      <c r="B81" s="13">
        <v>6</v>
      </c>
      <c r="C81" s="13">
        <v>1080</v>
      </c>
      <c r="D81" s="13">
        <v>4421</v>
      </c>
      <c r="E81" s="13" t="s">
        <v>54</v>
      </c>
      <c r="F81" s="27">
        <v>45</v>
      </c>
      <c r="G81" s="27">
        <v>87</v>
      </c>
      <c r="H81" s="27">
        <f t="shared" si="4"/>
        <v>42</v>
      </c>
      <c r="I81" s="27">
        <f t="shared" si="5"/>
        <v>4.2</v>
      </c>
      <c r="J81" s="13" t="s">
        <v>48</v>
      </c>
      <c r="K81" s="13" t="s">
        <v>46</v>
      </c>
    </row>
    <row r="82" spans="1:11" x14ac:dyDescent="0.3">
      <c r="A82" s="11" t="s">
        <v>65</v>
      </c>
      <c r="B82" s="11">
        <v>6</v>
      </c>
      <c r="C82" s="11">
        <v>1081</v>
      </c>
      <c r="D82" s="11">
        <v>6119</v>
      </c>
      <c r="E82" s="11" t="s">
        <v>60</v>
      </c>
      <c r="F82" s="26">
        <v>9</v>
      </c>
      <c r="G82" s="26">
        <v>14</v>
      </c>
      <c r="H82" s="26">
        <f t="shared" si="4"/>
        <v>5</v>
      </c>
      <c r="I82" s="26">
        <f t="shared" si="5"/>
        <v>0.5</v>
      </c>
      <c r="J82" s="11" t="s">
        <v>48</v>
      </c>
      <c r="K82" s="11" t="s">
        <v>59</v>
      </c>
    </row>
    <row r="83" spans="1:11" x14ac:dyDescent="0.3">
      <c r="A83" s="13" t="s">
        <v>65</v>
      </c>
      <c r="B83" s="13">
        <v>6</v>
      </c>
      <c r="C83" s="13">
        <v>1082</v>
      </c>
      <c r="D83" s="13">
        <v>1109</v>
      </c>
      <c r="E83" s="13" t="s">
        <v>51</v>
      </c>
      <c r="F83" s="27">
        <v>3</v>
      </c>
      <c r="G83" s="27">
        <v>8</v>
      </c>
      <c r="H83" s="27">
        <f t="shared" si="4"/>
        <v>5</v>
      </c>
      <c r="I83" s="27">
        <f t="shared" si="5"/>
        <v>0.5</v>
      </c>
      <c r="J83" s="13" t="s">
        <v>42</v>
      </c>
      <c r="K83" s="13" t="s">
        <v>46</v>
      </c>
    </row>
    <row r="84" spans="1:11" x14ac:dyDescent="0.3">
      <c r="A84" s="11" t="s">
        <v>65</v>
      </c>
      <c r="B84" s="11">
        <v>6</v>
      </c>
      <c r="C84" s="11">
        <v>1083</v>
      </c>
      <c r="D84" s="11">
        <v>1109</v>
      </c>
      <c r="E84" s="11" t="s">
        <v>51</v>
      </c>
      <c r="F84" s="26">
        <v>3</v>
      </c>
      <c r="G84" s="26">
        <v>8</v>
      </c>
      <c r="H84" s="26">
        <f t="shared" si="4"/>
        <v>5</v>
      </c>
      <c r="I84" s="26">
        <f t="shared" si="5"/>
        <v>0.5</v>
      </c>
      <c r="J84" s="11" t="s">
        <v>42</v>
      </c>
      <c r="K84" s="11" t="s">
        <v>58</v>
      </c>
    </row>
    <row r="85" spans="1:11" x14ac:dyDescent="0.3">
      <c r="A85" s="13" t="s">
        <v>65</v>
      </c>
      <c r="B85" s="13">
        <v>6</v>
      </c>
      <c r="C85" s="13">
        <v>1084</v>
      </c>
      <c r="D85" s="13">
        <v>6119</v>
      </c>
      <c r="E85" s="13" t="s">
        <v>60</v>
      </c>
      <c r="F85" s="27">
        <v>9</v>
      </c>
      <c r="G85" s="27">
        <v>14</v>
      </c>
      <c r="H85" s="27">
        <f t="shared" si="4"/>
        <v>5</v>
      </c>
      <c r="I85" s="27">
        <f t="shared" si="5"/>
        <v>0.5</v>
      </c>
      <c r="J85" s="13" t="s">
        <v>42</v>
      </c>
      <c r="K85" s="13" t="s">
        <v>49</v>
      </c>
    </row>
    <row r="86" spans="1:11" x14ac:dyDescent="0.3">
      <c r="A86" s="11" t="s">
        <v>65</v>
      </c>
      <c r="B86" s="11">
        <v>6</v>
      </c>
      <c r="C86" s="11">
        <v>1085</v>
      </c>
      <c r="D86" s="11">
        <v>9822</v>
      </c>
      <c r="E86" s="11" t="s">
        <v>41</v>
      </c>
      <c r="F86" s="26">
        <v>58.3</v>
      </c>
      <c r="G86" s="26">
        <v>98.4</v>
      </c>
      <c r="H86" s="26">
        <f t="shared" si="4"/>
        <v>40.100000000000009</v>
      </c>
      <c r="I86" s="26">
        <f t="shared" si="5"/>
        <v>4.0100000000000007</v>
      </c>
      <c r="J86" s="11" t="s">
        <v>48</v>
      </c>
      <c r="K86" s="11" t="s">
        <v>58</v>
      </c>
    </row>
    <row r="87" spans="1:11" x14ac:dyDescent="0.3">
      <c r="A87" s="13" t="s">
        <v>65</v>
      </c>
      <c r="B87" s="13">
        <v>6</v>
      </c>
      <c r="C87" s="13">
        <v>1086</v>
      </c>
      <c r="D87" s="13">
        <v>1109</v>
      </c>
      <c r="E87" s="13" t="s">
        <v>51</v>
      </c>
      <c r="F87" s="27">
        <v>3</v>
      </c>
      <c r="G87" s="27">
        <v>8</v>
      </c>
      <c r="H87" s="27">
        <f t="shared" si="4"/>
        <v>5</v>
      </c>
      <c r="I87" s="27">
        <f t="shared" si="5"/>
        <v>0.5</v>
      </c>
      <c r="J87" s="13" t="s">
        <v>52</v>
      </c>
      <c r="K87" s="13" t="s">
        <v>49</v>
      </c>
    </row>
    <row r="88" spans="1:11" x14ac:dyDescent="0.3">
      <c r="A88" s="11" t="s">
        <v>65</v>
      </c>
      <c r="B88" s="11">
        <v>6</v>
      </c>
      <c r="C88" s="11">
        <v>1087</v>
      </c>
      <c r="D88" s="11">
        <v>2499</v>
      </c>
      <c r="E88" s="11" t="s">
        <v>47</v>
      </c>
      <c r="F88" s="26">
        <v>6.2</v>
      </c>
      <c r="G88" s="26">
        <v>9.1999999999999993</v>
      </c>
      <c r="H88" s="26">
        <f t="shared" si="4"/>
        <v>2.9999999999999991</v>
      </c>
      <c r="I88" s="26">
        <f t="shared" si="5"/>
        <v>0.29999999999999993</v>
      </c>
      <c r="J88" s="11" t="s">
        <v>42</v>
      </c>
      <c r="K88" s="11" t="s">
        <v>46</v>
      </c>
    </row>
    <row r="89" spans="1:11" x14ac:dyDescent="0.3">
      <c r="A89" s="13" t="s">
        <v>65</v>
      </c>
      <c r="B89" s="13">
        <v>6</v>
      </c>
      <c r="C89" s="13">
        <v>1088</v>
      </c>
      <c r="D89" s="13">
        <v>2499</v>
      </c>
      <c r="E89" s="13" t="s">
        <v>47</v>
      </c>
      <c r="F89" s="27">
        <v>6.2</v>
      </c>
      <c r="G89" s="27">
        <v>9.1999999999999993</v>
      </c>
      <c r="H89" s="27">
        <f t="shared" si="4"/>
        <v>2.9999999999999991</v>
      </c>
      <c r="I89" s="27">
        <f t="shared" si="5"/>
        <v>0.29999999999999993</v>
      </c>
      <c r="J89" s="13" t="s">
        <v>42</v>
      </c>
      <c r="K89" s="13" t="s">
        <v>43</v>
      </c>
    </row>
    <row r="90" spans="1:11" x14ac:dyDescent="0.3">
      <c r="A90" s="11" t="s">
        <v>65</v>
      </c>
      <c r="B90" s="11">
        <v>6</v>
      </c>
      <c r="C90" s="11">
        <v>1089</v>
      </c>
      <c r="D90" s="11">
        <v>6119</v>
      </c>
      <c r="E90" s="11" t="s">
        <v>60</v>
      </c>
      <c r="F90" s="26">
        <v>9</v>
      </c>
      <c r="G90" s="26">
        <v>14</v>
      </c>
      <c r="H90" s="26">
        <f t="shared" si="4"/>
        <v>5</v>
      </c>
      <c r="I90" s="26">
        <f t="shared" si="5"/>
        <v>0.5</v>
      </c>
      <c r="J90" s="11" t="s">
        <v>48</v>
      </c>
      <c r="K90" s="11" t="s">
        <v>58</v>
      </c>
    </row>
    <row r="91" spans="1:11" x14ac:dyDescent="0.3">
      <c r="A91" s="13" t="s">
        <v>65</v>
      </c>
      <c r="B91" s="13">
        <v>6</v>
      </c>
      <c r="C91" s="13">
        <v>1090</v>
      </c>
      <c r="D91" s="13">
        <v>2877</v>
      </c>
      <c r="E91" s="13" t="s">
        <v>44</v>
      </c>
      <c r="F91" s="27">
        <v>11.4</v>
      </c>
      <c r="G91" s="27">
        <v>16.3</v>
      </c>
      <c r="H91" s="27">
        <f t="shared" si="4"/>
        <v>4.9000000000000004</v>
      </c>
      <c r="I91" s="27">
        <f t="shared" si="5"/>
        <v>0.49000000000000005</v>
      </c>
      <c r="J91" s="13" t="s">
        <v>42</v>
      </c>
      <c r="K91" s="13" t="s">
        <v>46</v>
      </c>
    </row>
    <row r="92" spans="1:11" x14ac:dyDescent="0.3">
      <c r="A92" s="11" t="s">
        <v>65</v>
      </c>
      <c r="B92" s="11">
        <v>6</v>
      </c>
      <c r="C92" s="11">
        <v>1091</v>
      </c>
      <c r="D92" s="11">
        <v>2877</v>
      </c>
      <c r="E92" s="11" t="s">
        <v>44</v>
      </c>
      <c r="F92" s="26">
        <v>11.4</v>
      </c>
      <c r="G92" s="26">
        <v>16.3</v>
      </c>
      <c r="H92" s="26">
        <f t="shared" si="4"/>
        <v>4.9000000000000004</v>
      </c>
      <c r="I92" s="26">
        <f t="shared" si="5"/>
        <v>0.49000000000000005</v>
      </c>
      <c r="J92" s="11" t="s">
        <v>52</v>
      </c>
      <c r="K92" s="11" t="s">
        <v>58</v>
      </c>
    </row>
    <row r="93" spans="1:11" x14ac:dyDescent="0.3">
      <c r="A93" s="13" t="s">
        <v>65</v>
      </c>
      <c r="B93" s="13">
        <v>6</v>
      </c>
      <c r="C93" s="13">
        <v>1092</v>
      </c>
      <c r="D93" s="13">
        <v>2877</v>
      </c>
      <c r="E93" s="13" t="s">
        <v>44</v>
      </c>
      <c r="F93" s="27">
        <v>11.4</v>
      </c>
      <c r="G93" s="27">
        <v>16.3</v>
      </c>
      <c r="H93" s="27">
        <f t="shared" si="4"/>
        <v>4.9000000000000004</v>
      </c>
      <c r="I93" s="27">
        <f t="shared" si="5"/>
        <v>0.49000000000000005</v>
      </c>
      <c r="J93" s="13" t="s">
        <v>48</v>
      </c>
      <c r="K93" s="13" t="s">
        <v>46</v>
      </c>
    </row>
    <row r="94" spans="1:11" x14ac:dyDescent="0.3">
      <c r="A94" s="11" t="s">
        <v>65</v>
      </c>
      <c r="B94" s="11">
        <v>6</v>
      </c>
      <c r="C94" s="11">
        <v>1093</v>
      </c>
      <c r="D94" s="11">
        <v>6119</v>
      </c>
      <c r="E94" s="11" t="s">
        <v>60</v>
      </c>
      <c r="F94" s="26">
        <v>9</v>
      </c>
      <c r="G94" s="26">
        <v>14</v>
      </c>
      <c r="H94" s="26">
        <f t="shared" si="4"/>
        <v>5</v>
      </c>
      <c r="I94" s="26">
        <f t="shared" si="5"/>
        <v>0.5</v>
      </c>
      <c r="J94" s="11" t="s">
        <v>45</v>
      </c>
      <c r="K94" s="11" t="s">
        <v>49</v>
      </c>
    </row>
    <row r="95" spans="1:11" x14ac:dyDescent="0.3">
      <c r="A95" s="13" t="s">
        <v>65</v>
      </c>
      <c r="B95" s="13">
        <v>6</v>
      </c>
      <c r="C95" s="13">
        <v>1094</v>
      </c>
      <c r="D95" s="13">
        <v>6119</v>
      </c>
      <c r="E95" s="13" t="s">
        <v>60</v>
      </c>
      <c r="F95" s="27">
        <v>9</v>
      </c>
      <c r="G95" s="27">
        <v>14</v>
      </c>
      <c r="H95" s="27">
        <f t="shared" si="4"/>
        <v>5</v>
      </c>
      <c r="I95" s="27">
        <f t="shared" si="5"/>
        <v>0.5</v>
      </c>
      <c r="J95" s="13" t="s">
        <v>48</v>
      </c>
      <c r="K95" s="13" t="s">
        <v>46</v>
      </c>
    </row>
    <row r="96" spans="1:11" x14ac:dyDescent="0.3">
      <c r="A96" s="11" t="s">
        <v>65</v>
      </c>
      <c r="B96" s="11">
        <v>6</v>
      </c>
      <c r="C96" s="11">
        <v>1095</v>
      </c>
      <c r="D96" s="11">
        <v>2499</v>
      </c>
      <c r="E96" s="11" t="s">
        <v>47</v>
      </c>
      <c r="F96" s="26">
        <v>6.2</v>
      </c>
      <c r="G96" s="26">
        <v>9.1999999999999993</v>
      </c>
      <c r="H96" s="26">
        <f t="shared" si="4"/>
        <v>2.9999999999999991</v>
      </c>
      <c r="I96" s="26">
        <f t="shared" si="5"/>
        <v>0.29999999999999993</v>
      </c>
      <c r="J96" s="11" t="s">
        <v>52</v>
      </c>
      <c r="K96" s="11" t="s">
        <v>49</v>
      </c>
    </row>
    <row r="97" spans="1:11" x14ac:dyDescent="0.3">
      <c r="A97" s="13" t="s">
        <v>65</v>
      </c>
      <c r="B97" s="13">
        <v>6</v>
      </c>
      <c r="C97" s="13">
        <v>1096</v>
      </c>
      <c r="D97" s="13">
        <v>6119</v>
      </c>
      <c r="E97" s="13" t="s">
        <v>60</v>
      </c>
      <c r="F97" s="27">
        <v>9</v>
      </c>
      <c r="G97" s="27">
        <v>14</v>
      </c>
      <c r="H97" s="27">
        <f t="shared" si="4"/>
        <v>5</v>
      </c>
      <c r="I97" s="27">
        <f t="shared" si="5"/>
        <v>0.5</v>
      </c>
      <c r="J97" s="13" t="s">
        <v>48</v>
      </c>
      <c r="K97" s="13" t="s">
        <v>49</v>
      </c>
    </row>
    <row r="98" spans="1:11" x14ac:dyDescent="0.3">
      <c r="A98" s="11" t="s">
        <v>65</v>
      </c>
      <c r="B98" s="11">
        <v>6</v>
      </c>
      <c r="C98" s="11">
        <v>1097</v>
      </c>
      <c r="D98" s="11">
        <v>9212</v>
      </c>
      <c r="E98" s="11" t="s">
        <v>55</v>
      </c>
      <c r="F98" s="26">
        <v>4</v>
      </c>
      <c r="G98" s="26">
        <v>7</v>
      </c>
      <c r="H98" s="26">
        <f t="shared" ref="H98:H129" si="6">G98-F98</f>
        <v>3</v>
      </c>
      <c r="I98" s="26">
        <f t="shared" ref="I98:I129" si="7">H98*0.1</f>
        <v>0.30000000000000004</v>
      </c>
      <c r="J98" s="11" t="s">
        <v>52</v>
      </c>
      <c r="K98" s="11" t="s">
        <v>58</v>
      </c>
    </row>
    <row r="99" spans="1:11" x14ac:dyDescent="0.3">
      <c r="A99" s="13" t="s">
        <v>65</v>
      </c>
      <c r="B99" s="13">
        <v>6</v>
      </c>
      <c r="C99" s="13">
        <v>1098</v>
      </c>
      <c r="D99" s="13">
        <v>2877</v>
      </c>
      <c r="E99" s="13" t="s">
        <v>44</v>
      </c>
      <c r="F99" s="27">
        <v>11.4</v>
      </c>
      <c r="G99" s="27">
        <v>16.3</v>
      </c>
      <c r="H99" s="27">
        <f t="shared" si="6"/>
        <v>4.9000000000000004</v>
      </c>
      <c r="I99" s="27">
        <f t="shared" si="7"/>
        <v>0.49000000000000005</v>
      </c>
      <c r="J99" s="13" t="s">
        <v>45</v>
      </c>
      <c r="K99" s="13" t="s">
        <v>43</v>
      </c>
    </row>
    <row r="100" spans="1:11" x14ac:dyDescent="0.3">
      <c r="A100" s="11" t="s">
        <v>66</v>
      </c>
      <c r="B100" s="11">
        <v>7</v>
      </c>
      <c r="C100" s="11">
        <v>1099</v>
      </c>
      <c r="D100" s="11">
        <v>2877</v>
      </c>
      <c r="E100" s="11" t="s">
        <v>44</v>
      </c>
      <c r="F100" s="26">
        <v>11.4</v>
      </c>
      <c r="G100" s="26">
        <v>16.3</v>
      </c>
      <c r="H100" s="26">
        <f t="shared" si="6"/>
        <v>4.9000000000000004</v>
      </c>
      <c r="I100" s="26">
        <f t="shared" si="7"/>
        <v>0.49000000000000005</v>
      </c>
      <c r="J100" s="11" t="s">
        <v>48</v>
      </c>
      <c r="K100" s="11" t="s">
        <v>46</v>
      </c>
    </row>
    <row r="101" spans="1:11" x14ac:dyDescent="0.3">
      <c r="A101" s="13" t="s">
        <v>66</v>
      </c>
      <c r="B101" s="13">
        <v>7</v>
      </c>
      <c r="C101" s="13">
        <v>1100</v>
      </c>
      <c r="D101" s="13">
        <v>6119</v>
      </c>
      <c r="E101" s="13" t="s">
        <v>60</v>
      </c>
      <c r="F101" s="27">
        <v>9</v>
      </c>
      <c r="G101" s="27">
        <v>14</v>
      </c>
      <c r="H101" s="27">
        <f t="shared" si="6"/>
        <v>5</v>
      </c>
      <c r="I101" s="27">
        <f t="shared" si="7"/>
        <v>0.5</v>
      </c>
      <c r="J101" s="13" t="s">
        <v>42</v>
      </c>
      <c r="K101" s="13" t="s">
        <v>59</v>
      </c>
    </row>
    <row r="102" spans="1:11" x14ac:dyDescent="0.3">
      <c r="A102" s="11" t="s">
        <v>66</v>
      </c>
      <c r="B102" s="11">
        <v>7</v>
      </c>
      <c r="C102" s="11">
        <v>1101</v>
      </c>
      <c r="D102" s="11">
        <v>2499</v>
      </c>
      <c r="E102" s="11" t="s">
        <v>47</v>
      </c>
      <c r="F102" s="26">
        <v>6.2</v>
      </c>
      <c r="G102" s="26">
        <v>9.1999999999999993</v>
      </c>
      <c r="H102" s="26">
        <f t="shared" si="6"/>
        <v>2.9999999999999991</v>
      </c>
      <c r="I102" s="26">
        <f t="shared" si="7"/>
        <v>0.29999999999999993</v>
      </c>
      <c r="J102" s="11" t="s">
        <v>48</v>
      </c>
      <c r="K102" s="11" t="s">
        <v>46</v>
      </c>
    </row>
    <row r="103" spans="1:11" x14ac:dyDescent="0.3">
      <c r="A103" s="13" t="s">
        <v>66</v>
      </c>
      <c r="B103" s="13">
        <v>7</v>
      </c>
      <c r="C103" s="13">
        <v>1102</v>
      </c>
      <c r="D103" s="13">
        <v>2242</v>
      </c>
      <c r="E103" s="13" t="s">
        <v>57</v>
      </c>
      <c r="F103" s="27">
        <v>60</v>
      </c>
      <c r="G103" s="27">
        <v>124</v>
      </c>
      <c r="H103" s="27">
        <f t="shared" si="6"/>
        <v>64</v>
      </c>
      <c r="I103" s="27">
        <f t="shared" si="7"/>
        <v>6.4</v>
      </c>
      <c r="J103" s="13" t="s">
        <v>45</v>
      </c>
      <c r="K103" s="13" t="s">
        <v>58</v>
      </c>
    </row>
    <row r="104" spans="1:11" x14ac:dyDescent="0.3">
      <c r="A104" s="11" t="s">
        <v>66</v>
      </c>
      <c r="B104" s="11">
        <v>7</v>
      </c>
      <c r="C104" s="11">
        <v>1103</v>
      </c>
      <c r="D104" s="11">
        <v>2877</v>
      </c>
      <c r="E104" s="11" t="s">
        <v>44</v>
      </c>
      <c r="F104" s="26">
        <v>11.4</v>
      </c>
      <c r="G104" s="26">
        <v>16.3</v>
      </c>
      <c r="H104" s="26">
        <f t="shared" si="6"/>
        <v>4.9000000000000004</v>
      </c>
      <c r="I104" s="26">
        <f t="shared" si="7"/>
        <v>0.49000000000000005</v>
      </c>
      <c r="J104" s="11" t="s">
        <v>45</v>
      </c>
      <c r="K104" s="11" t="s">
        <v>49</v>
      </c>
    </row>
    <row r="105" spans="1:11" x14ac:dyDescent="0.3">
      <c r="A105" s="13" t="s">
        <v>66</v>
      </c>
      <c r="B105" s="13">
        <v>7</v>
      </c>
      <c r="C105" s="13">
        <v>1104</v>
      </c>
      <c r="D105" s="13">
        <v>2877</v>
      </c>
      <c r="E105" s="13" t="s">
        <v>44</v>
      </c>
      <c r="F105" s="27">
        <v>11.4</v>
      </c>
      <c r="G105" s="27">
        <v>16.3</v>
      </c>
      <c r="H105" s="27">
        <f t="shared" si="6"/>
        <v>4.9000000000000004</v>
      </c>
      <c r="I105" s="27">
        <f t="shared" si="7"/>
        <v>0.49000000000000005</v>
      </c>
      <c r="J105" s="13" t="s">
        <v>48</v>
      </c>
      <c r="K105" s="13" t="s">
        <v>58</v>
      </c>
    </row>
    <row r="106" spans="1:11" x14ac:dyDescent="0.3">
      <c r="A106" s="11" t="s">
        <v>66</v>
      </c>
      <c r="B106" s="11">
        <v>7</v>
      </c>
      <c r="C106" s="11">
        <v>1105</v>
      </c>
      <c r="D106" s="11">
        <v>2499</v>
      </c>
      <c r="E106" s="11" t="s">
        <v>47</v>
      </c>
      <c r="F106" s="26">
        <v>6.2</v>
      </c>
      <c r="G106" s="26">
        <v>9.1999999999999993</v>
      </c>
      <c r="H106" s="26">
        <f t="shared" si="6"/>
        <v>2.9999999999999991</v>
      </c>
      <c r="I106" s="26">
        <f t="shared" si="7"/>
        <v>0.29999999999999993</v>
      </c>
      <c r="J106" s="11" t="s">
        <v>45</v>
      </c>
      <c r="K106" s="11" t="s">
        <v>49</v>
      </c>
    </row>
    <row r="107" spans="1:11" x14ac:dyDescent="0.3">
      <c r="A107" s="13" t="s">
        <v>66</v>
      </c>
      <c r="B107" s="13">
        <v>7</v>
      </c>
      <c r="C107" s="13">
        <v>1106</v>
      </c>
      <c r="D107" s="13">
        <v>9822</v>
      </c>
      <c r="E107" s="13" t="s">
        <v>41</v>
      </c>
      <c r="F107" s="27">
        <v>58.3</v>
      </c>
      <c r="G107" s="27">
        <v>98.4</v>
      </c>
      <c r="H107" s="27">
        <f t="shared" si="6"/>
        <v>40.100000000000009</v>
      </c>
      <c r="I107" s="27">
        <f t="shared" si="7"/>
        <v>4.0100000000000007</v>
      </c>
      <c r="J107" s="13" t="s">
        <v>45</v>
      </c>
      <c r="K107" s="13" t="s">
        <v>46</v>
      </c>
    </row>
    <row r="108" spans="1:11" x14ac:dyDescent="0.3">
      <c r="A108" s="11" t="s">
        <v>66</v>
      </c>
      <c r="B108" s="11">
        <v>7</v>
      </c>
      <c r="C108" s="11">
        <v>1107</v>
      </c>
      <c r="D108" s="11">
        <v>1109</v>
      </c>
      <c r="E108" s="11" t="s">
        <v>51</v>
      </c>
      <c r="F108" s="26">
        <v>3</v>
      </c>
      <c r="G108" s="26">
        <v>8</v>
      </c>
      <c r="H108" s="26">
        <f t="shared" si="6"/>
        <v>5</v>
      </c>
      <c r="I108" s="26">
        <f t="shared" si="7"/>
        <v>0.5</v>
      </c>
      <c r="J108" s="11" t="s">
        <v>52</v>
      </c>
      <c r="K108" s="11" t="s">
        <v>43</v>
      </c>
    </row>
    <row r="109" spans="1:11" x14ac:dyDescent="0.3">
      <c r="A109" s="13" t="s">
        <v>66</v>
      </c>
      <c r="B109" s="13">
        <v>7</v>
      </c>
      <c r="C109" s="13">
        <v>1108</v>
      </c>
      <c r="D109" s="13">
        <v>9822</v>
      </c>
      <c r="E109" s="13" t="s">
        <v>41</v>
      </c>
      <c r="F109" s="27">
        <v>58.3</v>
      </c>
      <c r="G109" s="27">
        <v>98.4</v>
      </c>
      <c r="H109" s="27">
        <f t="shared" si="6"/>
        <v>40.100000000000009</v>
      </c>
      <c r="I109" s="27">
        <f t="shared" si="7"/>
        <v>4.0100000000000007</v>
      </c>
      <c r="J109" s="13" t="s">
        <v>48</v>
      </c>
      <c r="K109" s="13" t="s">
        <v>58</v>
      </c>
    </row>
    <row r="110" spans="1:11" x14ac:dyDescent="0.3">
      <c r="A110" s="11" t="s">
        <v>66</v>
      </c>
      <c r="B110" s="11">
        <v>7</v>
      </c>
      <c r="C110" s="11">
        <v>1109</v>
      </c>
      <c r="D110" s="11">
        <v>8722</v>
      </c>
      <c r="E110" s="11" t="s">
        <v>50</v>
      </c>
      <c r="F110" s="26">
        <v>344</v>
      </c>
      <c r="G110" s="26">
        <v>502</v>
      </c>
      <c r="H110" s="26">
        <f t="shared" si="6"/>
        <v>158</v>
      </c>
      <c r="I110" s="26">
        <f t="shared" si="7"/>
        <v>15.8</v>
      </c>
      <c r="J110" s="11" t="s">
        <v>45</v>
      </c>
      <c r="K110" s="11" t="s">
        <v>46</v>
      </c>
    </row>
    <row r="111" spans="1:11" x14ac:dyDescent="0.3">
      <c r="A111" s="13" t="s">
        <v>66</v>
      </c>
      <c r="B111" s="13">
        <v>7</v>
      </c>
      <c r="C111" s="13">
        <v>1110</v>
      </c>
      <c r="D111" s="13">
        <v>8722</v>
      </c>
      <c r="E111" s="13" t="s">
        <v>50</v>
      </c>
      <c r="F111" s="27">
        <v>344</v>
      </c>
      <c r="G111" s="27">
        <v>502</v>
      </c>
      <c r="H111" s="27">
        <f t="shared" si="6"/>
        <v>158</v>
      </c>
      <c r="I111" s="27">
        <f t="shared" si="7"/>
        <v>15.8</v>
      </c>
      <c r="J111" s="13" t="s">
        <v>52</v>
      </c>
      <c r="K111" s="13" t="s">
        <v>58</v>
      </c>
    </row>
    <row r="112" spans="1:11" x14ac:dyDescent="0.3">
      <c r="A112" s="11" t="s">
        <v>66</v>
      </c>
      <c r="B112" s="11">
        <v>7</v>
      </c>
      <c r="C112" s="11">
        <v>1111</v>
      </c>
      <c r="D112" s="11">
        <v>6622</v>
      </c>
      <c r="E112" s="11" t="s">
        <v>62</v>
      </c>
      <c r="F112" s="26">
        <v>42</v>
      </c>
      <c r="G112" s="26">
        <v>77</v>
      </c>
      <c r="H112" s="26">
        <f t="shared" si="6"/>
        <v>35</v>
      </c>
      <c r="I112" s="26">
        <f t="shared" si="7"/>
        <v>3.5</v>
      </c>
      <c r="J112" s="11" t="s">
        <v>52</v>
      </c>
      <c r="K112" s="11" t="s">
        <v>46</v>
      </c>
    </row>
    <row r="113" spans="1:11" x14ac:dyDescent="0.3">
      <c r="A113" s="13" t="s">
        <v>66</v>
      </c>
      <c r="B113" s="13">
        <v>7</v>
      </c>
      <c r="C113" s="13">
        <v>1112</v>
      </c>
      <c r="D113" s="13">
        <v>6622</v>
      </c>
      <c r="E113" s="13" t="s">
        <v>62</v>
      </c>
      <c r="F113" s="27">
        <v>42</v>
      </c>
      <c r="G113" s="27">
        <v>77</v>
      </c>
      <c r="H113" s="27">
        <f t="shared" si="6"/>
        <v>35</v>
      </c>
      <c r="I113" s="27">
        <f t="shared" si="7"/>
        <v>3.5</v>
      </c>
      <c r="J113" s="13" t="s">
        <v>48</v>
      </c>
      <c r="K113" s="13" t="s">
        <v>49</v>
      </c>
    </row>
    <row r="114" spans="1:11" x14ac:dyDescent="0.3">
      <c r="A114" s="11" t="s">
        <v>66</v>
      </c>
      <c r="B114" s="11">
        <v>7</v>
      </c>
      <c r="C114" s="11">
        <v>1113</v>
      </c>
      <c r="D114" s="11">
        <v>9822</v>
      </c>
      <c r="E114" s="11" t="s">
        <v>41</v>
      </c>
      <c r="F114" s="26">
        <v>58.3</v>
      </c>
      <c r="G114" s="26">
        <v>98.4</v>
      </c>
      <c r="H114" s="26">
        <f t="shared" si="6"/>
        <v>40.100000000000009</v>
      </c>
      <c r="I114" s="26">
        <f t="shared" si="7"/>
        <v>4.0100000000000007</v>
      </c>
      <c r="J114" s="11" t="s">
        <v>42</v>
      </c>
      <c r="K114" s="11" t="s">
        <v>46</v>
      </c>
    </row>
    <row r="115" spans="1:11" x14ac:dyDescent="0.3">
      <c r="A115" s="13" t="s">
        <v>66</v>
      </c>
      <c r="B115" s="13">
        <v>7</v>
      </c>
      <c r="C115" s="13">
        <v>1114</v>
      </c>
      <c r="D115" s="13">
        <v>2242</v>
      </c>
      <c r="E115" s="13" t="s">
        <v>57</v>
      </c>
      <c r="F115" s="27">
        <v>60</v>
      </c>
      <c r="G115" s="27">
        <v>124</v>
      </c>
      <c r="H115" s="27">
        <f t="shared" si="6"/>
        <v>64</v>
      </c>
      <c r="I115" s="27">
        <f t="shared" si="7"/>
        <v>6.4</v>
      </c>
      <c r="J115" s="13" t="s">
        <v>45</v>
      </c>
      <c r="K115" s="13" t="s">
        <v>49</v>
      </c>
    </row>
    <row r="116" spans="1:11" x14ac:dyDescent="0.3">
      <c r="A116" s="11" t="s">
        <v>66</v>
      </c>
      <c r="B116" s="11">
        <v>7</v>
      </c>
      <c r="C116" s="11">
        <v>1115</v>
      </c>
      <c r="D116" s="11">
        <v>8722</v>
      </c>
      <c r="E116" s="11" t="s">
        <v>50</v>
      </c>
      <c r="F116" s="26">
        <v>344</v>
      </c>
      <c r="G116" s="26">
        <v>502</v>
      </c>
      <c r="H116" s="26">
        <f t="shared" si="6"/>
        <v>158</v>
      </c>
      <c r="I116" s="26">
        <f t="shared" si="7"/>
        <v>15.8</v>
      </c>
      <c r="J116" s="11" t="s">
        <v>42</v>
      </c>
      <c r="K116" s="11" t="s">
        <v>49</v>
      </c>
    </row>
    <row r="117" spans="1:11" x14ac:dyDescent="0.3">
      <c r="A117" s="13" t="s">
        <v>66</v>
      </c>
      <c r="B117" s="13">
        <v>7</v>
      </c>
      <c r="C117" s="13">
        <v>1116</v>
      </c>
      <c r="D117" s="13">
        <v>6622</v>
      </c>
      <c r="E117" s="13" t="s">
        <v>62</v>
      </c>
      <c r="F117" s="27">
        <v>42</v>
      </c>
      <c r="G117" s="27">
        <v>77</v>
      </c>
      <c r="H117" s="27">
        <f t="shared" si="6"/>
        <v>35</v>
      </c>
      <c r="I117" s="27">
        <f t="shared" si="7"/>
        <v>3.5</v>
      </c>
      <c r="J117" s="13" t="s">
        <v>48</v>
      </c>
      <c r="K117" s="13" t="s">
        <v>58</v>
      </c>
    </row>
    <row r="118" spans="1:11" x14ac:dyDescent="0.3">
      <c r="A118" s="11" t="s">
        <v>66</v>
      </c>
      <c r="B118" s="11">
        <v>7</v>
      </c>
      <c r="C118" s="11">
        <v>1117</v>
      </c>
      <c r="D118" s="11">
        <v>8722</v>
      </c>
      <c r="E118" s="11" t="s">
        <v>50</v>
      </c>
      <c r="F118" s="26">
        <v>344</v>
      </c>
      <c r="G118" s="26">
        <v>502</v>
      </c>
      <c r="H118" s="26">
        <f t="shared" si="6"/>
        <v>158</v>
      </c>
      <c r="I118" s="26">
        <f t="shared" si="7"/>
        <v>15.8</v>
      </c>
      <c r="J118" s="11" t="s">
        <v>52</v>
      </c>
      <c r="K118" s="11" t="s">
        <v>43</v>
      </c>
    </row>
    <row r="119" spans="1:11" x14ac:dyDescent="0.3">
      <c r="A119" s="13" t="s">
        <v>66</v>
      </c>
      <c r="B119" s="13">
        <v>7</v>
      </c>
      <c r="C119" s="13">
        <v>1118</v>
      </c>
      <c r="D119" s="13">
        <v>9822</v>
      </c>
      <c r="E119" s="13" t="s">
        <v>41</v>
      </c>
      <c r="F119" s="27">
        <v>58.3</v>
      </c>
      <c r="G119" s="27">
        <v>98.4</v>
      </c>
      <c r="H119" s="27">
        <f t="shared" si="6"/>
        <v>40.100000000000009</v>
      </c>
      <c r="I119" s="27">
        <f t="shared" si="7"/>
        <v>4.0100000000000007</v>
      </c>
      <c r="J119" s="13" t="s">
        <v>45</v>
      </c>
      <c r="K119" s="13" t="s">
        <v>46</v>
      </c>
    </row>
    <row r="120" spans="1:11" x14ac:dyDescent="0.3">
      <c r="A120" s="11" t="s">
        <v>66</v>
      </c>
      <c r="B120" s="11">
        <v>7</v>
      </c>
      <c r="C120" s="11">
        <v>1119</v>
      </c>
      <c r="D120" s="11">
        <v>2242</v>
      </c>
      <c r="E120" s="11" t="s">
        <v>57</v>
      </c>
      <c r="F120" s="26">
        <v>60</v>
      </c>
      <c r="G120" s="26">
        <v>124</v>
      </c>
      <c r="H120" s="26">
        <f t="shared" si="6"/>
        <v>64</v>
      </c>
      <c r="I120" s="26">
        <f t="shared" si="7"/>
        <v>6.4</v>
      </c>
      <c r="J120" s="11" t="s">
        <v>42</v>
      </c>
      <c r="K120" s="11" t="s">
        <v>59</v>
      </c>
    </row>
    <row r="121" spans="1:11" x14ac:dyDescent="0.3">
      <c r="A121" s="13" t="s">
        <v>66</v>
      </c>
      <c r="B121" s="13">
        <v>7</v>
      </c>
      <c r="C121" s="13">
        <v>1120</v>
      </c>
      <c r="D121" s="13">
        <v>2242</v>
      </c>
      <c r="E121" s="13" t="s">
        <v>57</v>
      </c>
      <c r="F121" s="27">
        <v>60</v>
      </c>
      <c r="G121" s="27">
        <v>124</v>
      </c>
      <c r="H121" s="27">
        <f t="shared" si="6"/>
        <v>64</v>
      </c>
      <c r="I121" s="27">
        <f t="shared" si="7"/>
        <v>6.4</v>
      </c>
      <c r="J121" s="13" t="s">
        <v>48</v>
      </c>
      <c r="K121" s="13" t="s">
        <v>46</v>
      </c>
    </row>
    <row r="122" spans="1:11" x14ac:dyDescent="0.3">
      <c r="A122" s="11" t="s">
        <v>66</v>
      </c>
      <c r="B122" s="11">
        <v>7</v>
      </c>
      <c r="C122" s="11">
        <v>1121</v>
      </c>
      <c r="D122" s="11">
        <v>4421</v>
      </c>
      <c r="E122" s="11" t="s">
        <v>54</v>
      </c>
      <c r="F122" s="26">
        <v>45</v>
      </c>
      <c r="G122" s="26">
        <v>87</v>
      </c>
      <c r="H122" s="26">
        <f t="shared" si="6"/>
        <v>42</v>
      </c>
      <c r="I122" s="26">
        <f t="shared" si="7"/>
        <v>4.2</v>
      </c>
      <c r="J122" s="11" t="s">
        <v>48</v>
      </c>
      <c r="K122" s="11" t="s">
        <v>58</v>
      </c>
    </row>
    <row r="123" spans="1:11" x14ac:dyDescent="0.3">
      <c r="A123" s="13" t="s">
        <v>66</v>
      </c>
      <c r="B123" s="13">
        <v>7</v>
      </c>
      <c r="C123" s="13">
        <v>1122</v>
      </c>
      <c r="D123" s="13">
        <v>8722</v>
      </c>
      <c r="E123" s="13" t="s">
        <v>50</v>
      </c>
      <c r="F123" s="27">
        <v>344</v>
      </c>
      <c r="G123" s="27">
        <v>502</v>
      </c>
      <c r="H123" s="27">
        <f t="shared" si="6"/>
        <v>158</v>
      </c>
      <c r="I123" s="27">
        <f t="shared" si="7"/>
        <v>15.8</v>
      </c>
      <c r="J123" s="13" t="s">
        <v>48</v>
      </c>
      <c r="K123" s="13" t="s">
        <v>49</v>
      </c>
    </row>
    <row r="124" spans="1:11" x14ac:dyDescent="0.3">
      <c r="A124" s="11" t="s">
        <v>66</v>
      </c>
      <c r="B124" s="11">
        <v>7</v>
      </c>
      <c r="C124" s="11">
        <v>1123</v>
      </c>
      <c r="D124" s="11">
        <v>9822</v>
      </c>
      <c r="E124" s="11" t="s">
        <v>41</v>
      </c>
      <c r="F124" s="26">
        <v>58.3</v>
      </c>
      <c r="G124" s="26">
        <v>98.4</v>
      </c>
      <c r="H124" s="26">
        <f t="shared" si="6"/>
        <v>40.100000000000009</v>
      </c>
      <c r="I124" s="26">
        <f t="shared" si="7"/>
        <v>4.0100000000000007</v>
      </c>
      <c r="J124" s="11" t="s">
        <v>48</v>
      </c>
      <c r="K124" s="11" t="s">
        <v>58</v>
      </c>
    </row>
    <row r="125" spans="1:11" x14ac:dyDescent="0.3">
      <c r="A125" s="13" t="s">
        <v>66</v>
      </c>
      <c r="B125" s="13">
        <v>7</v>
      </c>
      <c r="C125" s="13">
        <v>1124</v>
      </c>
      <c r="D125" s="13">
        <v>4421</v>
      </c>
      <c r="E125" s="13" t="s">
        <v>54</v>
      </c>
      <c r="F125" s="27">
        <v>45</v>
      </c>
      <c r="G125" s="27">
        <v>87</v>
      </c>
      <c r="H125" s="27">
        <f t="shared" si="6"/>
        <v>42</v>
      </c>
      <c r="I125" s="27">
        <f t="shared" si="7"/>
        <v>4.2</v>
      </c>
      <c r="J125" s="13" t="s">
        <v>48</v>
      </c>
      <c r="K125" s="13" t="s">
        <v>49</v>
      </c>
    </row>
    <row r="126" spans="1:11" x14ac:dyDescent="0.3">
      <c r="A126" s="11" t="s">
        <v>67</v>
      </c>
      <c r="B126" s="11">
        <v>8</v>
      </c>
      <c r="C126" s="11">
        <v>1125</v>
      </c>
      <c r="D126" s="11">
        <v>2242</v>
      </c>
      <c r="E126" s="11" t="s">
        <v>57</v>
      </c>
      <c r="F126" s="26">
        <v>60</v>
      </c>
      <c r="G126" s="26">
        <v>124</v>
      </c>
      <c r="H126" s="26">
        <f t="shared" si="6"/>
        <v>64</v>
      </c>
      <c r="I126" s="26">
        <f t="shared" si="7"/>
        <v>6.4</v>
      </c>
      <c r="J126" s="11" t="s">
        <v>48</v>
      </c>
      <c r="K126" s="11" t="s">
        <v>46</v>
      </c>
    </row>
    <row r="127" spans="1:11" x14ac:dyDescent="0.3">
      <c r="A127" s="13" t="s">
        <v>67</v>
      </c>
      <c r="B127" s="13">
        <v>8</v>
      </c>
      <c r="C127" s="13">
        <v>1126</v>
      </c>
      <c r="D127" s="13">
        <v>9212</v>
      </c>
      <c r="E127" s="13" t="s">
        <v>55</v>
      </c>
      <c r="F127" s="27">
        <v>4</v>
      </c>
      <c r="G127" s="27">
        <v>7</v>
      </c>
      <c r="H127" s="27">
        <f t="shared" si="6"/>
        <v>3</v>
      </c>
      <c r="I127" s="27">
        <f t="shared" si="7"/>
        <v>0.30000000000000004</v>
      </c>
      <c r="J127" s="13" t="s">
        <v>48</v>
      </c>
      <c r="K127" s="13" t="s">
        <v>43</v>
      </c>
    </row>
    <row r="128" spans="1:11" x14ac:dyDescent="0.3">
      <c r="A128" s="11" t="s">
        <v>67</v>
      </c>
      <c r="B128" s="11">
        <v>8</v>
      </c>
      <c r="C128" s="11">
        <v>1127</v>
      </c>
      <c r="D128" s="11">
        <v>8722</v>
      </c>
      <c r="E128" s="11" t="s">
        <v>50</v>
      </c>
      <c r="F128" s="26">
        <v>344</v>
      </c>
      <c r="G128" s="26">
        <v>502</v>
      </c>
      <c r="H128" s="26">
        <f t="shared" si="6"/>
        <v>158</v>
      </c>
      <c r="I128" s="26">
        <f t="shared" si="7"/>
        <v>15.8</v>
      </c>
      <c r="J128" s="11" t="s">
        <v>42</v>
      </c>
      <c r="K128" s="11" t="s">
        <v>58</v>
      </c>
    </row>
    <row r="129" spans="1:11" x14ac:dyDescent="0.3">
      <c r="A129" s="13" t="s">
        <v>67</v>
      </c>
      <c r="B129" s="13">
        <v>8</v>
      </c>
      <c r="C129" s="13">
        <v>1128</v>
      </c>
      <c r="D129" s="13">
        <v>6622</v>
      </c>
      <c r="E129" s="13" t="s">
        <v>62</v>
      </c>
      <c r="F129" s="27">
        <v>42</v>
      </c>
      <c r="G129" s="27">
        <v>77</v>
      </c>
      <c r="H129" s="27">
        <f t="shared" si="6"/>
        <v>35</v>
      </c>
      <c r="I129" s="27">
        <f t="shared" si="7"/>
        <v>3.5</v>
      </c>
      <c r="J129" s="13" t="s">
        <v>45</v>
      </c>
      <c r="K129" s="13" t="s">
        <v>46</v>
      </c>
    </row>
    <row r="130" spans="1:11" x14ac:dyDescent="0.3">
      <c r="A130" s="11" t="s">
        <v>67</v>
      </c>
      <c r="B130" s="11">
        <v>8</v>
      </c>
      <c r="C130" s="11">
        <v>1129</v>
      </c>
      <c r="D130" s="11">
        <v>9822</v>
      </c>
      <c r="E130" s="11" t="s">
        <v>41</v>
      </c>
      <c r="F130" s="26">
        <v>58.3</v>
      </c>
      <c r="G130" s="26">
        <v>98.4</v>
      </c>
      <c r="H130" s="26">
        <f t="shared" ref="H130:H161" si="8">G130-F130</f>
        <v>40.100000000000009</v>
      </c>
      <c r="I130" s="26">
        <f t="shared" ref="I130:I161" si="9">H130*0.1</f>
        <v>4.0100000000000007</v>
      </c>
      <c r="J130" s="11" t="s">
        <v>52</v>
      </c>
      <c r="K130" s="11" t="s">
        <v>58</v>
      </c>
    </row>
    <row r="131" spans="1:11" x14ac:dyDescent="0.3">
      <c r="A131" s="13" t="s">
        <v>67</v>
      </c>
      <c r="B131" s="13">
        <v>8</v>
      </c>
      <c r="C131" s="13">
        <v>1130</v>
      </c>
      <c r="D131" s="13">
        <v>4421</v>
      </c>
      <c r="E131" s="13" t="s">
        <v>54</v>
      </c>
      <c r="F131" s="27">
        <v>45</v>
      </c>
      <c r="G131" s="27">
        <v>87</v>
      </c>
      <c r="H131" s="27">
        <f t="shared" si="8"/>
        <v>42</v>
      </c>
      <c r="I131" s="27">
        <f t="shared" si="9"/>
        <v>4.2</v>
      </c>
      <c r="J131" s="13" t="s">
        <v>52</v>
      </c>
      <c r="K131" s="13" t="s">
        <v>46</v>
      </c>
    </row>
    <row r="132" spans="1:11" x14ac:dyDescent="0.3">
      <c r="A132" s="11" t="s">
        <v>67</v>
      </c>
      <c r="B132" s="11">
        <v>8</v>
      </c>
      <c r="C132" s="11">
        <v>1131</v>
      </c>
      <c r="D132" s="11">
        <v>9212</v>
      </c>
      <c r="E132" s="11" t="s">
        <v>55</v>
      </c>
      <c r="F132" s="26">
        <v>4</v>
      </c>
      <c r="G132" s="26">
        <v>7</v>
      </c>
      <c r="H132" s="26">
        <f t="shared" si="8"/>
        <v>3</v>
      </c>
      <c r="I132" s="26">
        <f t="shared" si="9"/>
        <v>0.30000000000000004</v>
      </c>
      <c r="J132" s="11" t="s">
        <v>52</v>
      </c>
      <c r="K132" s="11" t="s">
        <v>49</v>
      </c>
    </row>
    <row r="133" spans="1:11" x14ac:dyDescent="0.3">
      <c r="A133" s="13" t="s">
        <v>67</v>
      </c>
      <c r="B133" s="13">
        <v>8</v>
      </c>
      <c r="C133" s="13">
        <v>1132</v>
      </c>
      <c r="D133" s="13">
        <v>9212</v>
      </c>
      <c r="E133" s="13" t="s">
        <v>55</v>
      </c>
      <c r="F133" s="27">
        <v>4</v>
      </c>
      <c r="G133" s="27">
        <v>7</v>
      </c>
      <c r="H133" s="27">
        <f t="shared" si="8"/>
        <v>3</v>
      </c>
      <c r="I133" s="27">
        <f t="shared" si="9"/>
        <v>0.30000000000000004</v>
      </c>
      <c r="J133" s="13" t="s">
        <v>52</v>
      </c>
      <c r="K133" s="13" t="s">
        <v>46</v>
      </c>
    </row>
    <row r="134" spans="1:11" x14ac:dyDescent="0.3">
      <c r="A134" s="11" t="s">
        <v>67</v>
      </c>
      <c r="B134" s="11">
        <v>8</v>
      </c>
      <c r="C134" s="11">
        <v>1133</v>
      </c>
      <c r="D134" s="11">
        <v>9822</v>
      </c>
      <c r="E134" s="11" t="s">
        <v>41</v>
      </c>
      <c r="F134" s="26">
        <v>58.3</v>
      </c>
      <c r="G134" s="26">
        <v>98.4</v>
      </c>
      <c r="H134" s="26">
        <f t="shared" si="8"/>
        <v>40.100000000000009</v>
      </c>
      <c r="I134" s="26">
        <f t="shared" si="9"/>
        <v>4.0100000000000007</v>
      </c>
      <c r="J134" s="11" t="s">
        <v>42</v>
      </c>
      <c r="K134" s="11" t="s">
        <v>49</v>
      </c>
    </row>
    <row r="135" spans="1:11" x14ac:dyDescent="0.3">
      <c r="A135" s="13" t="s">
        <v>67</v>
      </c>
      <c r="B135" s="13">
        <v>8</v>
      </c>
      <c r="C135" s="13">
        <v>1134</v>
      </c>
      <c r="D135" s="13">
        <v>9822</v>
      </c>
      <c r="E135" s="13" t="s">
        <v>41</v>
      </c>
      <c r="F135" s="27">
        <v>58.3</v>
      </c>
      <c r="G135" s="27">
        <v>98.4</v>
      </c>
      <c r="H135" s="27">
        <f t="shared" si="8"/>
        <v>40.100000000000009</v>
      </c>
      <c r="I135" s="27">
        <f t="shared" si="9"/>
        <v>4.0100000000000007</v>
      </c>
      <c r="J135" s="13" t="s">
        <v>48</v>
      </c>
      <c r="K135" s="13" t="s">
        <v>49</v>
      </c>
    </row>
    <row r="136" spans="1:11" x14ac:dyDescent="0.3">
      <c r="A136" s="11" t="s">
        <v>67</v>
      </c>
      <c r="B136" s="11">
        <v>8</v>
      </c>
      <c r="C136" s="11">
        <v>1135</v>
      </c>
      <c r="D136" s="11">
        <v>8722</v>
      </c>
      <c r="E136" s="11" t="s">
        <v>50</v>
      </c>
      <c r="F136" s="26">
        <v>344</v>
      </c>
      <c r="G136" s="26">
        <v>502</v>
      </c>
      <c r="H136" s="26">
        <f t="shared" si="8"/>
        <v>158</v>
      </c>
      <c r="I136" s="26">
        <f t="shared" si="9"/>
        <v>15.8</v>
      </c>
      <c r="J136" s="11" t="s">
        <v>42</v>
      </c>
      <c r="K136" s="11" t="s">
        <v>58</v>
      </c>
    </row>
    <row r="137" spans="1:11" x14ac:dyDescent="0.3">
      <c r="A137" s="13" t="s">
        <v>67</v>
      </c>
      <c r="B137" s="13">
        <v>8</v>
      </c>
      <c r="C137" s="13">
        <v>1136</v>
      </c>
      <c r="D137" s="13">
        <v>2242</v>
      </c>
      <c r="E137" s="13" t="s">
        <v>57</v>
      </c>
      <c r="F137" s="27">
        <v>60</v>
      </c>
      <c r="G137" s="27">
        <v>124</v>
      </c>
      <c r="H137" s="27">
        <f t="shared" si="8"/>
        <v>64</v>
      </c>
      <c r="I137" s="27">
        <f t="shared" si="9"/>
        <v>6.4</v>
      </c>
      <c r="J137" s="13" t="s">
        <v>48</v>
      </c>
      <c r="K137" s="13" t="s">
        <v>43</v>
      </c>
    </row>
    <row r="138" spans="1:11" x14ac:dyDescent="0.3">
      <c r="A138" s="11" t="s">
        <v>67</v>
      </c>
      <c r="B138" s="11">
        <v>8</v>
      </c>
      <c r="C138" s="11">
        <v>1137</v>
      </c>
      <c r="D138" s="11">
        <v>9822</v>
      </c>
      <c r="E138" s="11" t="s">
        <v>41</v>
      </c>
      <c r="F138" s="26">
        <v>58.3</v>
      </c>
      <c r="G138" s="26">
        <v>98.4</v>
      </c>
      <c r="H138" s="26">
        <f t="shared" si="8"/>
        <v>40.100000000000009</v>
      </c>
      <c r="I138" s="26">
        <f t="shared" si="9"/>
        <v>4.0100000000000007</v>
      </c>
      <c r="J138" s="11" t="s">
        <v>45</v>
      </c>
      <c r="K138" s="11" t="s">
        <v>46</v>
      </c>
    </row>
    <row r="139" spans="1:11" x14ac:dyDescent="0.3">
      <c r="A139" s="13" t="s">
        <v>67</v>
      </c>
      <c r="B139" s="13">
        <v>8</v>
      </c>
      <c r="C139" s="13">
        <v>1138</v>
      </c>
      <c r="D139" s="13">
        <v>8722</v>
      </c>
      <c r="E139" s="13" t="s">
        <v>50</v>
      </c>
      <c r="F139" s="27">
        <v>344</v>
      </c>
      <c r="G139" s="27">
        <v>502</v>
      </c>
      <c r="H139" s="27">
        <f t="shared" si="8"/>
        <v>158</v>
      </c>
      <c r="I139" s="27">
        <f t="shared" si="9"/>
        <v>15.8</v>
      </c>
      <c r="J139" s="13" t="s">
        <v>42</v>
      </c>
      <c r="K139" s="13" t="s">
        <v>59</v>
      </c>
    </row>
    <row r="140" spans="1:11" x14ac:dyDescent="0.3">
      <c r="A140" s="11" t="s">
        <v>67</v>
      </c>
      <c r="B140" s="11">
        <v>8</v>
      </c>
      <c r="C140" s="11">
        <v>1139</v>
      </c>
      <c r="D140" s="11">
        <v>4421</v>
      </c>
      <c r="E140" s="11" t="s">
        <v>54</v>
      </c>
      <c r="F140" s="26">
        <v>45</v>
      </c>
      <c r="G140" s="26">
        <v>87</v>
      </c>
      <c r="H140" s="26">
        <f t="shared" si="8"/>
        <v>42</v>
      </c>
      <c r="I140" s="26">
        <f t="shared" si="9"/>
        <v>4.2</v>
      </c>
      <c r="J140" s="11" t="s">
        <v>48</v>
      </c>
      <c r="K140" s="11" t="s">
        <v>46</v>
      </c>
    </row>
    <row r="141" spans="1:11" x14ac:dyDescent="0.3">
      <c r="A141" s="13" t="s">
        <v>67</v>
      </c>
      <c r="B141" s="13">
        <v>8</v>
      </c>
      <c r="C141" s="13">
        <v>1140</v>
      </c>
      <c r="D141" s="13">
        <v>4421</v>
      </c>
      <c r="E141" s="13" t="s">
        <v>54</v>
      </c>
      <c r="F141" s="27">
        <v>45</v>
      </c>
      <c r="G141" s="27">
        <v>87</v>
      </c>
      <c r="H141" s="27">
        <f t="shared" si="8"/>
        <v>42</v>
      </c>
      <c r="I141" s="27">
        <f t="shared" si="9"/>
        <v>4.2</v>
      </c>
      <c r="J141" s="13" t="s">
        <v>45</v>
      </c>
      <c r="K141" s="13" t="s">
        <v>58</v>
      </c>
    </row>
    <row r="142" spans="1:11" x14ac:dyDescent="0.3">
      <c r="A142" s="11" t="s">
        <v>67</v>
      </c>
      <c r="B142" s="11">
        <v>8</v>
      </c>
      <c r="C142" s="11">
        <v>1141</v>
      </c>
      <c r="D142" s="11">
        <v>9212</v>
      </c>
      <c r="E142" s="11" t="s">
        <v>55</v>
      </c>
      <c r="F142" s="26">
        <v>4</v>
      </c>
      <c r="G142" s="26">
        <v>7</v>
      </c>
      <c r="H142" s="26">
        <f t="shared" si="8"/>
        <v>3</v>
      </c>
      <c r="I142" s="26">
        <f t="shared" si="9"/>
        <v>0.30000000000000004</v>
      </c>
      <c r="J142" s="11" t="s">
        <v>45</v>
      </c>
      <c r="K142" s="11" t="s">
        <v>49</v>
      </c>
    </row>
    <row r="143" spans="1:11" x14ac:dyDescent="0.3">
      <c r="A143" s="13" t="s">
        <v>68</v>
      </c>
      <c r="B143" s="13">
        <v>9</v>
      </c>
      <c r="C143" s="13">
        <v>1142</v>
      </c>
      <c r="D143" s="13">
        <v>2242</v>
      </c>
      <c r="E143" s="13" t="s">
        <v>57</v>
      </c>
      <c r="F143" s="27">
        <v>60</v>
      </c>
      <c r="G143" s="27">
        <v>124</v>
      </c>
      <c r="H143" s="27">
        <f t="shared" si="8"/>
        <v>64</v>
      </c>
      <c r="I143" s="27">
        <f t="shared" si="9"/>
        <v>6.4</v>
      </c>
      <c r="J143" s="13" t="s">
        <v>45</v>
      </c>
      <c r="K143" s="13" t="s">
        <v>58</v>
      </c>
    </row>
    <row r="144" spans="1:11" x14ac:dyDescent="0.3">
      <c r="A144" s="11" t="s">
        <v>68</v>
      </c>
      <c r="B144" s="11">
        <v>9</v>
      </c>
      <c r="C144" s="11">
        <v>1143</v>
      </c>
      <c r="D144" s="11">
        <v>9822</v>
      </c>
      <c r="E144" s="11" t="s">
        <v>41</v>
      </c>
      <c r="F144" s="26">
        <v>58.3</v>
      </c>
      <c r="G144" s="26">
        <v>98.4</v>
      </c>
      <c r="H144" s="26">
        <f t="shared" si="8"/>
        <v>40.100000000000009</v>
      </c>
      <c r="I144" s="26">
        <f t="shared" si="9"/>
        <v>4.0100000000000007</v>
      </c>
      <c r="J144" s="11" t="s">
        <v>52</v>
      </c>
      <c r="K144" s="11" t="s">
        <v>49</v>
      </c>
    </row>
    <row r="145" spans="1:11" x14ac:dyDescent="0.3">
      <c r="A145" s="13" t="s">
        <v>68</v>
      </c>
      <c r="B145" s="13">
        <v>9</v>
      </c>
      <c r="C145" s="13">
        <v>1144</v>
      </c>
      <c r="D145" s="13">
        <v>2242</v>
      </c>
      <c r="E145" s="13" t="s">
        <v>57</v>
      </c>
      <c r="F145" s="27">
        <v>60</v>
      </c>
      <c r="G145" s="27">
        <v>124</v>
      </c>
      <c r="H145" s="27">
        <f t="shared" si="8"/>
        <v>64</v>
      </c>
      <c r="I145" s="27">
        <f t="shared" si="9"/>
        <v>6.4</v>
      </c>
      <c r="J145" s="13" t="s">
        <v>52</v>
      </c>
      <c r="K145" s="13" t="s">
        <v>46</v>
      </c>
    </row>
    <row r="146" spans="1:11" x14ac:dyDescent="0.3">
      <c r="A146" s="11" t="s">
        <v>68</v>
      </c>
      <c r="B146" s="11">
        <v>9</v>
      </c>
      <c r="C146" s="11">
        <v>1145</v>
      </c>
      <c r="D146" s="11">
        <v>4421</v>
      </c>
      <c r="E146" s="11" t="s">
        <v>54</v>
      </c>
      <c r="F146" s="26">
        <v>45</v>
      </c>
      <c r="G146" s="26">
        <v>87</v>
      </c>
      <c r="H146" s="26">
        <f t="shared" si="8"/>
        <v>42</v>
      </c>
      <c r="I146" s="26">
        <f t="shared" si="9"/>
        <v>4.2</v>
      </c>
      <c r="J146" s="11" t="s">
        <v>52</v>
      </c>
      <c r="K146" s="11" t="s">
        <v>43</v>
      </c>
    </row>
    <row r="147" spans="1:11" x14ac:dyDescent="0.3">
      <c r="A147" s="13" t="s">
        <v>68</v>
      </c>
      <c r="B147" s="13">
        <v>9</v>
      </c>
      <c r="C147" s="13">
        <v>1146</v>
      </c>
      <c r="D147" s="13">
        <v>8722</v>
      </c>
      <c r="E147" s="13" t="s">
        <v>50</v>
      </c>
      <c r="F147" s="27">
        <v>344</v>
      </c>
      <c r="G147" s="27">
        <v>502</v>
      </c>
      <c r="H147" s="27">
        <f t="shared" si="8"/>
        <v>158</v>
      </c>
      <c r="I147" s="27">
        <f t="shared" si="9"/>
        <v>15.8</v>
      </c>
      <c r="J147" s="13" t="s">
        <v>52</v>
      </c>
      <c r="K147" s="13" t="s">
        <v>58</v>
      </c>
    </row>
    <row r="148" spans="1:11" x14ac:dyDescent="0.3">
      <c r="A148" s="11" t="s">
        <v>68</v>
      </c>
      <c r="B148" s="11">
        <v>9</v>
      </c>
      <c r="C148" s="11">
        <v>1147</v>
      </c>
      <c r="D148" s="11">
        <v>9822</v>
      </c>
      <c r="E148" s="11" t="s">
        <v>41</v>
      </c>
      <c r="F148" s="26">
        <v>58.3</v>
      </c>
      <c r="G148" s="26">
        <v>98.4</v>
      </c>
      <c r="H148" s="26">
        <f t="shared" si="8"/>
        <v>40.100000000000009</v>
      </c>
      <c r="I148" s="26">
        <f t="shared" si="9"/>
        <v>4.0100000000000007</v>
      </c>
      <c r="J148" s="11" t="s">
        <v>42</v>
      </c>
      <c r="K148" s="11" t="s">
        <v>46</v>
      </c>
    </row>
    <row r="149" spans="1:11" x14ac:dyDescent="0.3">
      <c r="A149" s="13" t="s">
        <v>68</v>
      </c>
      <c r="B149" s="13">
        <v>9</v>
      </c>
      <c r="C149" s="13">
        <v>1148</v>
      </c>
      <c r="D149" s="13">
        <v>9212</v>
      </c>
      <c r="E149" s="13" t="s">
        <v>55</v>
      </c>
      <c r="F149" s="27">
        <v>4</v>
      </c>
      <c r="G149" s="27">
        <v>7</v>
      </c>
      <c r="H149" s="27">
        <f t="shared" si="8"/>
        <v>3</v>
      </c>
      <c r="I149" s="27">
        <f t="shared" si="9"/>
        <v>0.30000000000000004</v>
      </c>
      <c r="J149" s="13" t="s">
        <v>48</v>
      </c>
      <c r="K149" s="13" t="s">
        <v>49</v>
      </c>
    </row>
    <row r="150" spans="1:11" x14ac:dyDescent="0.3">
      <c r="A150" s="11" t="s">
        <v>68</v>
      </c>
      <c r="B150" s="11">
        <v>9</v>
      </c>
      <c r="C150" s="11">
        <v>1149</v>
      </c>
      <c r="D150" s="11">
        <v>8722</v>
      </c>
      <c r="E150" s="11" t="s">
        <v>50</v>
      </c>
      <c r="F150" s="26">
        <v>344</v>
      </c>
      <c r="G150" s="26">
        <v>502</v>
      </c>
      <c r="H150" s="26">
        <f t="shared" si="8"/>
        <v>158</v>
      </c>
      <c r="I150" s="26">
        <f t="shared" si="9"/>
        <v>15.8</v>
      </c>
      <c r="J150" s="11" t="s">
        <v>42</v>
      </c>
      <c r="K150" s="11" t="s">
        <v>49</v>
      </c>
    </row>
    <row r="151" spans="1:11" x14ac:dyDescent="0.3">
      <c r="A151" s="13" t="s">
        <v>69</v>
      </c>
      <c r="B151" s="13">
        <v>10</v>
      </c>
      <c r="C151" s="13">
        <v>1150</v>
      </c>
      <c r="D151" s="13">
        <v>2242</v>
      </c>
      <c r="E151" s="13" t="s">
        <v>57</v>
      </c>
      <c r="F151" s="27">
        <v>60</v>
      </c>
      <c r="G151" s="27">
        <v>124</v>
      </c>
      <c r="H151" s="27">
        <f t="shared" si="8"/>
        <v>64</v>
      </c>
      <c r="I151" s="27">
        <f t="shared" si="9"/>
        <v>6.4</v>
      </c>
      <c r="J151" s="13" t="s">
        <v>48</v>
      </c>
      <c r="K151" s="13" t="s">
        <v>59</v>
      </c>
    </row>
    <row r="152" spans="1:11" x14ac:dyDescent="0.3">
      <c r="A152" s="11" t="s">
        <v>69</v>
      </c>
      <c r="B152" s="11">
        <v>10</v>
      </c>
      <c r="C152" s="11">
        <v>1151</v>
      </c>
      <c r="D152" s="11">
        <v>2242</v>
      </c>
      <c r="E152" s="11" t="s">
        <v>57</v>
      </c>
      <c r="F152" s="26">
        <v>60</v>
      </c>
      <c r="G152" s="26">
        <v>124</v>
      </c>
      <c r="H152" s="26">
        <f t="shared" si="8"/>
        <v>64</v>
      </c>
      <c r="I152" s="26">
        <f t="shared" si="9"/>
        <v>6.4</v>
      </c>
      <c r="J152" s="11" t="s">
        <v>45</v>
      </c>
      <c r="K152" s="11" t="s">
        <v>46</v>
      </c>
    </row>
    <row r="153" spans="1:11" x14ac:dyDescent="0.3">
      <c r="A153" s="13" t="s">
        <v>69</v>
      </c>
      <c r="B153" s="13">
        <v>10</v>
      </c>
      <c r="C153" s="13">
        <v>1152</v>
      </c>
      <c r="D153" s="13">
        <v>4421</v>
      </c>
      <c r="E153" s="13" t="s">
        <v>54</v>
      </c>
      <c r="F153" s="27">
        <v>45</v>
      </c>
      <c r="G153" s="27">
        <v>87</v>
      </c>
      <c r="H153" s="27">
        <f t="shared" si="8"/>
        <v>42</v>
      </c>
      <c r="I153" s="27">
        <f t="shared" si="9"/>
        <v>4.2</v>
      </c>
      <c r="J153" s="13" t="s">
        <v>42</v>
      </c>
      <c r="K153" s="13" t="s">
        <v>58</v>
      </c>
    </row>
    <row r="154" spans="1:11" x14ac:dyDescent="0.3">
      <c r="A154" s="11" t="s">
        <v>69</v>
      </c>
      <c r="B154" s="11">
        <v>10</v>
      </c>
      <c r="C154" s="11">
        <v>1153</v>
      </c>
      <c r="D154" s="11">
        <v>8722</v>
      </c>
      <c r="E154" s="11" t="s">
        <v>50</v>
      </c>
      <c r="F154" s="26">
        <v>344</v>
      </c>
      <c r="G154" s="26">
        <v>502</v>
      </c>
      <c r="H154" s="26">
        <f t="shared" si="8"/>
        <v>158</v>
      </c>
      <c r="I154" s="26">
        <f t="shared" si="9"/>
        <v>15.8</v>
      </c>
      <c r="J154" s="11" t="s">
        <v>48</v>
      </c>
      <c r="K154" s="11" t="s">
        <v>49</v>
      </c>
    </row>
    <row r="155" spans="1:11" x14ac:dyDescent="0.3">
      <c r="A155" s="13" t="s">
        <v>69</v>
      </c>
      <c r="B155" s="13">
        <v>10</v>
      </c>
      <c r="C155" s="13">
        <v>1154</v>
      </c>
      <c r="D155" s="13">
        <v>9822</v>
      </c>
      <c r="E155" s="13" t="s">
        <v>41</v>
      </c>
      <c r="F155" s="27">
        <v>58.3</v>
      </c>
      <c r="G155" s="27">
        <v>98.4</v>
      </c>
      <c r="H155" s="27">
        <f t="shared" si="8"/>
        <v>40.100000000000009</v>
      </c>
      <c r="I155" s="27">
        <f t="shared" si="9"/>
        <v>4.0100000000000007</v>
      </c>
      <c r="J155" s="13" t="s">
        <v>45</v>
      </c>
      <c r="K155" s="13" t="s">
        <v>58</v>
      </c>
    </row>
    <row r="156" spans="1:11" x14ac:dyDescent="0.3">
      <c r="A156" s="11" t="s">
        <v>69</v>
      </c>
      <c r="B156" s="11">
        <v>10</v>
      </c>
      <c r="C156" s="11">
        <v>1155</v>
      </c>
      <c r="D156" s="11">
        <v>4421</v>
      </c>
      <c r="E156" s="11" t="s">
        <v>54</v>
      </c>
      <c r="F156" s="26">
        <v>45</v>
      </c>
      <c r="G156" s="26">
        <v>87</v>
      </c>
      <c r="H156" s="26">
        <f t="shared" si="8"/>
        <v>42</v>
      </c>
      <c r="I156" s="26">
        <f t="shared" si="9"/>
        <v>4.2</v>
      </c>
      <c r="J156" s="11" t="s">
        <v>48</v>
      </c>
      <c r="K156" s="11" t="s">
        <v>49</v>
      </c>
    </row>
    <row r="157" spans="1:11" x14ac:dyDescent="0.3">
      <c r="A157" s="13" t="s">
        <v>69</v>
      </c>
      <c r="B157" s="13">
        <v>10</v>
      </c>
      <c r="C157" s="13">
        <v>1156</v>
      </c>
      <c r="D157" s="13">
        <v>2242</v>
      </c>
      <c r="E157" s="13" t="s">
        <v>57</v>
      </c>
      <c r="F157" s="27">
        <v>60</v>
      </c>
      <c r="G157" s="27">
        <v>124</v>
      </c>
      <c r="H157" s="27">
        <f t="shared" si="8"/>
        <v>64</v>
      </c>
      <c r="I157" s="27">
        <f t="shared" si="9"/>
        <v>6.4</v>
      </c>
      <c r="J157" s="13" t="s">
        <v>48</v>
      </c>
      <c r="K157" s="13" t="s">
        <v>46</v>
      </c>
    </row>
    <row r="158" spans="1:11" x14ac:dyDescent="0.3">
      <c r="A158" s="11" t="s">
        <v>69</v>
      </c>
      <c r="B158" s="11">
        <v>10</v>
      </c>
      <c r="C158" s="11">
        <v>1157</v>
      </c>
      <c r="D158" s="11">
        <v>9212</v>
      </c>
      <c r="E158" s="11" t="s">
        <v>55</v>
      </c>
      <c r="F158" s="26">
        <v>4</v>
      </c>
      <c r="G158" s="26">
        <v>7</v>
      </c>
      <c r="H158" s="26">
        <f t="shared" si="8"/>
        <v>3</v>
      </c>
      <c r="I158" s="26">
        <f t="shared" si="9"/>
        <v>0.30000000000000004</v>
      </c>
      <c r="J158" s="11" t="s">
        <v>48</v>
      </c>
      <c r="K158" s="11" t="s">
        <v>43</v>
      </c>
    </row>
    <row r="159" spans="1:11" x14ac:dyDescent="0.3">
      <c r="A159" s="13" t="s">
        <v>70</v>
      </c>
      <c r="B159" s="13">
        <v>11</v>
      </c>
      <c r="C159" s="13">
        <v>1158</v>
      </c>
      <c r="D159" s="13">
        <v>8722</v>
      </c>
      <c r="E159" s="13" t="s">
        <v>50</v>
      </c>
      <c r="F159" s="27">
        <v>344</v>
      </c>
      <c r="G159" s="27">
        <v>502</v>
      </c>
      <c r="H159" s="27">
        <f t="shared" si="8"/>
        <v>158</v>
      </c>
      <c r="I159" s="27">
        <f t="shared" si="9"/>
        <v>15.8</v>
      </c>
      <c r="J159" s="13" t="s">
        <v>42</v>
      </c>
      <c r="K159" s="13" t="s">
        <v>58</v>
      </c>
    </row>
    <row r="160" spans="1:11" x14ac:dyDescent="0.3">
      <c r="A160" s="11" t="s">
        <v>70</v>
      </c>
      <c r="B160" s="11">
        <v>11</v>
      </c>
      <c r="C160" s="11">
        <v>1159</v>
      </c>
      <c r="D160" s="11">
        <v>6622</v>
      </c>
      <c r="E160" s="11" t="s">
        <v>62</v>
      </c>
      <c r="F160" s="26">
        <v>42</v>
      </c>
      <c r="G160" s="26">
        <v>77</v>
      </c>
      <c r="H160" s="26">
        <f t="shared" si="8"/>
        <v>35</v>
      </c>
      <c r="I160" s="26">
        <f t="shared" si="9"/>
        <v>3.5</v>
      </c>
      <c r="J160" s="11" t="s">
        <v>48</v>
      </c>
      <c r="K160" s="11" t="s">
        <v>46</v>
      </c>
    </row>
    <row r="161" spans="1:11" x14ac:dyDescent="0.3">
      <c r="A161" s="13" t="s">
        <v>70</v>
      </c>
      <c r="B161" s="13">
        <v>11</v>
      </c>
      <c r="C161" s="13">
        <v>1160</v>
      </c>
      <c r="D161" s="13">
        <v>9822</v>
      </c>
      <c r="E161" s="13" t="s">
        <v>41</v>
      </c>
      <c r="F161" s="27">
        <v>58.3</v>
      </c>
      <c r="G161" s="27">
        <v>98.4</v>
      </c>
      <c r="H161" s="27">
        <f t="shared" si="8"/>
        <v>40.100000000000009</v>
      </c>
      <c r="I161" s="27">
        <f t="shared" si="9"/>
        <v>4.0100000000000007</v>
      </c>
      <c r="J161" s="13" t="s">
        <v>52</v>
      </c>
      <c r="K161" s="13" t="s">
        <v>58</v>
      </c>
    </row>
    <row r="162" spans="1:11" x14ac:dyDescent="0.3">
      <c r="A162" s="11" t="s">
        <v>70</v>
      </c>
      <c r="B162" s="11">
        <v>11</v>
      </c>
      <c r="C162" s="11">
        <v>1161</v>
      </c>
      <c r="D162" s="11">
        <v>4421</v>
      </c>
      <c r="E162" s="11" t="s">
        <v>54</v>
      </c>
      <c r="F162" s="26">
        <v>45</v>
      </c>
      <c r="G162" s="26">
        <v>87</v>
      </c>
      <c r="H162" s="26">
        <f t="shared" ref="H162:H193" si="10">G162-F162</f>
        <v>42</v>
      </c>
      <c r="I162" s="26">
        <f t="shared" ref="I162:I193" si="11">H162*0.1</f>
        <v>4.2</v>
      </c>
      <c r="J162" s="11" t="s">
        <v>45</v>
      </c>
      <c r="K162" s="11" t="s">
        <v>46</v>
      </c>
    </row>
    <row r="163" spans="1:11" x14ac:dyDescent="0.3">
      <c r="A163" s="13" t="s">
        <v>70</v>
      </c>
      <c r="B163" s="13">
        <v>11</v>
      </c>
      <c r="C163" s="13">
        <v>1162</v>
      </c>
      <c r="D163" s="13">
        <v>9212</v>
      </c>
      <c r="E163" s="13" t="s">
        <v>55</v>
      </c>
      <c r="F163" s="27">
        <v>4</v>
      </c>
      <c r="G163" s="27">
        <v>7</v>
      </c>
      <c r="H163" s="27">
        <f t="shared" si="10"/>
        <v>3</v>
      </c>
      <c r="I163" s="27">
        <f t="shared" si="11"/>
        <v>0.30000000000000004</v>
      </c>
      <c r="J163" s="13" t="s">
        <v>42</v>
      </c>
      <c r="K163" s="13" t="s">
        <v>49</v>
      </c>
    </row>
    <row r="164" spans="1:11" x14ac:dyDescent="0.3">
      <c r="A164" s="11" t="s">
        <v>70</v>
      </c>
      <c r="B164" s="11">
        <v>11</v>
      </c>
      <c r="C164" s="11">
        <v>1163</v>
      </c>
      <c r="D164" s="11">
        <v>9212</v>
      </c>
      <c r="E164" s="11" t="s">
        <v>55</v>
      </c>
      <c r="F164" s="26">
        <v>4</v>
      </c>
      <c r="G164" s="26">
        <v>7</v>
      </c>
      <c r="H164" s="26">
        <f t="shared" si="10"/>
        <v>3</v>
      </c>
      <c r="I164" s="26">
        <f t="shared" si="11"/>
        <v>0.30000000000000004</v>
      </c>
      <c r="J164" s="11" t="s">
        <v>48</v>
      </c>
      <c r="K164" s="11" t="s">
        <v>46</v>
      </c>
    </row>
    <row r="165" spans="1:11" x14ac:dyDescent="0.3">
      <c r="A165" s="13" t="s">
        <v>70</v>
      </c>
      <c r="B165" s="13">
        <v>11</v>
      </c>
      <c r="C165" s="13">
        <v>1164</v>
      </c>
      <c r="D165" s="13">
        <v>9822</v>
      </c>
      <c r="E165" s="13" t="s">
        <v>41</v>
      </c>
      <c r="F165" s="27">
        <v>58.3</v>
      </c>
      <c r="G165" s="27">
        <v>98.4</v>
      </c>
      <c r="H165" s="27">
        <f t="shared" si="10"/>
        <v>40.100000000000009</v>
      </c>
      <c r="I165" s="27">
        <f t="shared" si="11"/>
        <v>4.0100000000000007</v>
      </c>
      <c r="J165" s="13" t="s">
        <v>48</v>
      </c>
      <c r="K165" s="13" t="s">
        <v>49</v>
      </c>
    </row>
    <row r="166" spans="1:11" x14ac:dyDescent="0.3">
      <c r="A166" s="11" t="s">
        <v>70</v>
      </c>
      <c r="B166" s="11">
        <v>11</v>
      </c>
      <c r="C166" s="11">
        <v>1165</v>
      </c>
      <c r="D166" s="11">
        <v>9822</v>
      </c>
      <c r="E166" s="11" t="s">
        <v>41</v>
      </c>
      <c r="F166" s="26">
        <v>58.3</v>
      </c>
      <c r="G166" s="26">
        <v>98.4</v>
      </c>
      <c r="H166" s="26">
        <f t="shared" si="10"/>
        <v>40.100000000000009</v>
      </c>
      <c r="I166" s="26">
        <f t="shared" si="11"/>
        <v>4.0100000000000007</v>
      </c>
      <c r="J166" s="11" t="s">
        <v>48</v>
      </c>
      <c r="K166" s="11" t="s">
        <v>49</v>
      </c>
    </row>
    <row r="167" spans="1:11" x14ac:dyDescent="0.3">
      <c r="A167" s="13" t="s">
        <v>70</v>
      </c>
      <c r="B167" s="13">
        <v>11</v>
      </c>
      <c r="C167" s="13">
        <v>1166</v>
      </c>
      <c r="D167" s="13">
        <v>8722</v>
      </c>
      <c r="E167" s="13" t="s">
        <v>50</v>
      </c>
      <c r="F167" s="27">
        <v>344</v>
      </c>
      <c r="G167" s="27">
        <v>502</v>
      </c>
      <c r="H167" s="27">
        <f t="shared" si="10"/>
        <v>158</v>
      </c>
      <c r="I167" s="27">
        <f t="shared" si="11"/>
        <v>15.8</v>
      </c>
      <c r="J167" s="13" t="s">
        <v>48</v>
      </c>
      <c r="K167" s="13" t="s">
        <v>58</v>
      </c>
    </row>
    <row r="168" spans="1:11" x14ac:dyDescent="0.3">
      <c r="A168" s="11" t="s">
        <v>71</v>
      </c>
      <c r="B168" s="11">
        <v>12</v>
      </c>
      <c r="C168" s="11">
        <v>1167</v>
      </c>
      <c r="D168" s="11">
        <v>2242</v>
      </c>
      <c r="E168" s="11" t="s">
        <v>57</v>
      </c>
      <c r="F168" s="26">
        <v>60</v>
      </c>
      <c r="G168" s="26">
        <v>124</v>
      </c>
      <c r="H168" s="26">
        <f t="shared" si="10"/>
        <v>64</v>
      </c>
      <c r="I168" s="26">
        <f t="shared" si="11"/>
        <v>6.4</v>
      </c>
      <c r="J168" s="11" t="s">
        <v>48</v>
      </c>
      <c r="K168" s="11" t="s">
        <v>43</v>
      </c>
    </row>
    <row r="169" spans="1:11" x14ac:dyDescent="0.3">
      <c r="A169" s="13" t="s">
        <v>71</v>
      </c>
      <c r="B169" s="13">
        <v>12</v>
      </c>
      <c r="C169" s="13">
        <v>1168</v>
      </c>
      <c r="D169" s="13">
        <v>9822</v>
      </c>
      <c r="E169" s="13" t="s">
        <v>41</v>
      </c>
      <c r="F169" s="27">
        <v>58.3</v>
      </c>
      <c r="G169" s="27">
        <v>98.4</v>
      </c>
      <c r="H169" s="27">
        <f t="shared" si="10"/>
        <v>40.100000000000009</v>
      </c>
      <c r="I169" s="27">
        <f t="shared" si="11"/>
        <v>4.0100000000000007</v>
      </c>
      <c r="J169" s="13" t="s">
        <v>48</v>
      </c>
      <c r="K169" s="13" t="s">
        <v>46</v>
      </c>
    </row>
    <row r="170" spans="1:11" x14ac:dyDescent="0.3">
      <c r="A170" s="11" t="s">
        <v>71</v>
      </c>
      <c r="B170" s="11">
        <v>12</v>
      </c>
      <c r="C170" s="11">
        <v>1169</v>
      </c>
      <c r="D170" s="11">
        <v>8722</v>
      </c>
      <c r="E170" s="11" t="s">
        <v>50</v>
      </c>
      <c r="F170" s="26">
        <v>344</v>
      </c>
      <c r="G170" s="26">
        <v>502</v>
      </c>
      <c r="H170" s="26">
        <f t="shared" si="10"/>
        <v>158</v>
      </c>
      <c r="I170" s="26">
        <f t="shared" si="11"/>
        <v>15.8</v>
      </c>
      <c r="J170" s="11" t="s">
        <v>48</v>
      </c>
      <c r="K170" s="11" t="s">
        <v>59</v>
      </c>
    </row>
    <row r="171" spans="1:11" x14ac:dyDescent="0.3">
      <c r="A171" s="13" t="s">
        <v>71</v>
      </c>
      <c r="B171" s="13">
        <v>12</v>
      </c>
      <c r="C171" s="13">
        <v>1170</v>
      </c>
      <c r="D171" s="13">
        <v>4421</v>
      </c>
      <c r="E171" s="13" t="s">
        <v>54</v>
      </c>
      <c r="F171" s="27">
        <v>45</v>
      </c>
      <c r="G171" s="27">
        <v>87</v>
      </c>
      <c r="H171" s="27">
        <f t="shared" si="10"/>
        <v>42</v>
      </c>
      <c r="I171" s="27">
        <f t="shared" si="11"/>
        <v>4.2</v>
      </c>
      <c r="J171" s="13" t="s">
        <v>42</v>
      </c>
      <c r="K171" s="13" t="s">
        <v>46</v>
      </c>
    </row>
    <row r="172" spans="1:11" x14ac:dyDescent="0.3">
      <c r="A172" s="11" t="s">
        <v>71</v>
      </c>
      <c r="B172" s="11">
        <v>12</v>
      </c>
      <c r="C172" s="11">
        <v>1171</v>
      </c>
      <c r="D172" s="11">
        <v>4421</v>
      </c>
      <c r="E172" s="11" t="s">
        <v>54</v>
      </c>
      <c r="F172" s="26">
        <v>45</v>
      </c>
      <c r="G172" s="26">
        <v>87</v>
      </c>
      <c r="H172" s="26">
        <f t="shared" si="10"/>
        <v>42</v>
      </c>
      <c r="I172" s="26">
        <f t="shared" si="11"/>
        <v>4.2</v>
      </c>
      <c r="J172" s="11" t="s">
        <v>45</v>
      </c>
      <c r="K172" s="11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7"/>
  <sheetViews>
    <sheetView showGridLines="0" zoomScaleNormal="100" workbookViewId="0">
      <selection activeCell="J25" sqref="J25"/>
    </sheetView>
  </sheetViews>
  <sheetFormatPr defaultColWidth="8.6640625" defaultRowHeight="14.4" x14ac:dyDescent="0.3"/>
  <cols>
    <col min="1" max="1" width="2" customWidth="1"/>
    <col min="2" max="2" width="9" customWidth="1"/>
    <col min="3" max="3" width="13" customWidth="1"/>
    <col min="4" max="6" width="13" style="28" customWidth="1"/>
    <col min="7" max="7" width="16" style="28" customWidth="1"/>
    <col min="8" max="8" width="14" style="28" customWidth="1"/>
    <col min="9" max="9" width="15" customWidth="1"/>
  </cols>
  <sheetData>
    <row r="2" spans="2:9" ht="16.8" x14ac:dyDescent="0.3">
      <c r="B2" s="16" t="s">
        <v>72</v>
      </c>
    </row>
    <row r="4" spans="2:9" x14ac:dyDescent="0.3">
      <c r="B4" s="10" t="s">
        <v>29</v>
      </c>
      <c r="C4" s="10" t="s">
        <v>73</v>
      </c>
      <c r="D4" s="25" t="s">
        <v>2</v>
      </c>
      <c r="E4" s="25" t="s">
        <v>74</v>
      </c>
      <c r="F4" s="25" t="s">
        <v>3</v>
      </c>
      <c r="G4" s="25" t="s">
        <v>75</v>
      </c>
      <c r="H4" s="25" t="s">
        <v>6</v>
      </c>
      <c r="I4" s="10" t="s">
        <v>76</v>
      </c>
    </row>
    <row r="5" spans="2:9" x14ac:dyDescent="0.3">
      <c r="B5" s="11" t="s">
        <v>40</v>
      </c>
      <c r="C5" s="11">
        <f>COUNTIF('Clean Data'!$A$2:$A$172,B5)</f>
        <v>16</v>
      </c>
      <c r="D5" s="26">
        <f>SUMIF('Clean Data'!$A$2:$A$172,B5,'Clean Data'!$G$2:$G$172)</f>
        <v>1418.6999999999998</v>
      </c>
      <c r="E5" s="26">
        <f>SUMIF('Clean Data'!$A$2:$A$172,B5,'Clean Data'!$F$2:$F$172)</f>
        <v>932</v>
      </c>
      <c r="F5" s="26">
        <f>SUMIF('Clean Data'!$A$2:$A$172,B5,'Clean Data'!$H$2:$H$172)</f>
        <v>486.69999999999993</v>
      </c>
      <c r="G5" s="26">
        <f>SUMIF('Clean Data'!$A$2:$A$172,B5,'Clean Data'!$I$2:$I$172)</f>
        <v>48.669999999999995</v>
      </c>
      <c r="H5" s="26">
        <f t="shared" ref="H5:H17" si="0">IFERROR(D5/C5,0)</f>
        <v>88.668749999999989</v>
      </c>
      <c r="I5" s="17">
        <f t="shared" ref="I5:I17" si="1">IFERROR(F5/D5,0)</f>
        <v>0.34306054838937056</v>
      </c>
    </row>
    <row r="6" spans="2:9" x14ac:dyDescent="0.3">
      <c r="B6" s="13" t="s">
        <v>56</v>
      </c>
      <c r="C6" s="13">
        <f>COUNTIF('Clean Data'!$A$2:$A$172,B6)</f>
        <v>18</v>
      </c>
      <c r="D6" s="27">
        <f>SUMIF('Clean Data'!$A$2:$A$172,B6,'Clean Data'!$G$2:$G$172)</f>
        <v>971.19999999999993</v>
      </c>
      <c r="E6" s="27">
        <f>SUMIF('Clean Data'!$A$2:$A$172,B6,'Clean Data'!$F$2:$F$172)</f>
        <v>605.5</v>
      </c>
      <c r="F6" s="27">
        <f>SUMIF('Clean Data'!$A$2:$A$172,B6,'Clean Data'!$H$2:$H$172)</f>
        <v>365.7</v>
      </c>
      <c r="G6" s="27">
        <f>SUMIF('Clean Data'!$A$2:$A$172,B6,'Clean Data'!$I$2:$I$172)</f>
        <v>36.57</v>
      </c>
      <c r="H6" s="27">
        <f t="shared" si="0"/>
        <v>53.955555555555549</v>
      </c>
      <c r="I6" s="18">
        <f t="shared" si="1"/>
        <v>0.37654448105436572</v>
      </c>
    </row>
    <row r="7" spans="2:9" x14ac:dyDescent="0.3">
      <c r="B7" s="11" t="s">
        <v>61</v>
      </c>
      <c r="C7" s="11">
        <f>COUNTIF('Clean Data'!$A$2:$A$172,B7)</f>
        <v>14</v>
      </c>
      <c r="D7" s="26">
        <f>SUMIF('Clean Data'!$A$2:$A$172,B7,'Clean Data'!$G$2:$G$172)</f>
        <v>1875.4</v>
      </c>
      <c r="E7" s="26">
        <f>SUMIF('Clean Data'!$A$2:$A$172,B7,'Clean Data'!$F$2:$F$172)</f>
        <v>1235.5999999999999</v>
      </c>
      <c r="F7" s="26">
        <f>SUMIF('Clean Data'!$A$2:$A$172,B7,'Clean Data'!$H$2:$H$172)</f>
        <v>639.79999999999995</v>
      </c>
      <c r="G7" s="26">
        <f>SUMIF('Clean Data'!$A$2:$A$172,B7,'Clean Data'!$I$2:$I$172)</f>
        <v>63.980000000000004</v>
      </c>
      <c r="H7" s="26">
        <f t="shared" si="0"/>
        <v>133.95714285714286</v>
      </c>
      <c r="I7" s="17">
        <f t="shared" si="1"/>
        <v>0.34115388717073686</v>
      </c>
    </row>
    <row r="8" spans="2:9" x14ac:dyDescent="0.3">
      <c r="B8" s="13" t="s">
        <v>63</v>
      </c>
      <c r="C8" s="13">
        <f>COUNTIF('Clean Data'!$A$2:$A$172,B8)</f>
        <v>12</v>
      </c>
      <c r="D8" s="27">
        <f>SUMIF('Clean Data'!$A$2:$A$172,B8,'Clean Data'!$G$2:$G$172)</f>
        <v>510.7</v>
      </c>
      <c r="E8" s="27">
        <f>SUMIF('Clean Data'!$A$2:$A$172,B8,'Clean Data'!$F$2:$F$172)</f>
        <v>269.79999999999995</v>
      </c>
      <c r="F8" s="27">
        <f>SUMIF('Clean Data'!$A$2:$A$172,B8,'Clean Data'!$H$2:$H$172)</f>
        <v>240.9</v>
      </c>
      <c r="G8" s="27">
        <f>SUMIF('Clean Data'!$A$2:$A$172,B8,'Clean Data'!$I$2:$I$172)</f>
        <v>24.090000000000003</v>
      </c>
      <c r="H8" s="27">
        <f t="shared" si="0"/>
        <v>42.55833333333333</v>
      </c>
      <c r="I8" s="18">
        <f t="shared" si="1"/>
        <v>0.47170550225181124</v>
      </c>
    </row>
    <row r="9" spans="2:9" x14ac:dyDescent="0.3">
      <c r="B9" s="11" t="s">
        <v>64</v>
      </c>
      <c r="C9" s="11">
        <f>COUNTIF('Clean Data'!$A$2:$A$172,B9)</f>
        <v>18</v>
      </c>
      <c r="D9" s="26">
        <f>SUMIF('Clean Data'!$A$2:$A$172,B9,'Clean Data'!$G$2:$G$172)</f>
        <v>347.40000000000003</v>
      </c>
      <c r="E9" s="26">
        <f>SUMIF('Clean Data'!$A$2:$A$172,B9,'Clean Data'!$F$2:$F$172)</f>
        <v>200.70000000000002</v>
      </c>
      <c r="F9" s="26">
        <f>SUMIF('Clean Data'!$A$2:$A$172,B9,'Clean Data'!$H$2:$H$172)</f>
        <v>146.70000000000002</v>
      </c>
      <c r="G9" s="26">
        <f>SUMIF('Clean Data'!$A$2:$A$172,B9,'Clean Data'!$I$2:$I$172)</f>
        <v>14.67</v>
      </c>
      <c r="H9" s="26">
        <f t="shared" si="0"/>
        <v>19.3</v>
      </c>
      <c r="I9" s="17">
        <f t="shared" si="1"/>
        <v>0.42227979274611399</v>
      </c>
    </row>
    <row r="10" spans="2:9" x14ac:dyDescent="0.3">
      <c r="B10" s="13" t="s">
        <v>65</v>
      </c>
      <c r="C10" s="13">
        <f>COUNTIF('Clean Data'!$A$2:$A$172,B10)</f>
        <v>20</v>
      </c>
      <c r="D10" s="27">
        <f>SUMIF('Clean Data'!$A$2:$A$172,B10,'Clean Data'!$G$2:$G$172)</f>
        <v>409.50000000000006</v>
      </c>
      <c r="E10" s="27">
        <f>SUMIF('Clean Data'!$A$2:$A$172,B10,'Clean Data'!$F$2:$F$172)</f>
        <v>245.89999999999998</v>
      </c>
      <c r="F10" s="27">
        <f>SUMIF('Clean Data'!$A$2:$A$172,B10,'Clean Data'!$H$2:$H$172)</f>
        <v>163.60000000000002</v>
      </c>
      <c r="G10" s="27">
        <f>SUMIF('Clean Data'!$A$2:$A$172,B10,'Clean Data'!$I$2:$I$172)</f>
        <v>16.360000000000003</v>
      </c>
      <c r="H10" s="27">
        <f t="shared" si="0"/>
        <v>20.475000000000001</v>
      </c>
      <c r="I10" s="18">
        <f t="shared" si="1"/>
        <v>0.39951159951159954</v>
      </c>
    </row>
    <row r="11" spans="2:9" x14ac:dyDescent="0.3">
      <c r="B11" s="11" t="s">
        <v>66</v>
      </c>
      <c r="C11" s="11">
        <f>COUNTIF('Clean Data'!$A$2:$A$172,B11)</f>
        <v>26</v>
      </c>
      <c r="D11" s="26">
        <f>SUMIF('Clean Data'!$A$2:$A$172,B11,'Clean Data'!$G$2:$G$172)</f>
        <v>3992.3</v>
      </c>
      <c r="E11" s="26">
        <f>SUMIF('Clean Data'!$A$2:$A$172,B11,'Clean Data'!$F$2:$F$172)</f>
        <v>2526.1000000000004</v>
      </c>
      <c r="F11" s="26">
        <f>SUMIF('Clean Data'!$A$2:$A$172,B11,'Clean Data'!$H$2:$H$172)</f>
        <v>1466.2</v>
      </c>
      <c r="G11" s="26">
        <f>SUMIF('Clean Data'!$A$2:$A$172,B11,'Clean Data'!$I$2:$I$172)</f>
        <v>146.62</v>
      </c>
      <c r="H11" s="26">
        <f t="shared" si="0"/>
        <v>153.55000000000001</v>
      </c>
      <c r="I11" s="17">
        <f t="shared" si="1"/>
        <v>0.3672569696666082</v>
      </c>
    </row>
    <row r="12" spans="2:9" x14ac:dyDescent="0.3">
      <c r="B12" s="13" t="s">
        <v>67</v>
      </c>
      <c r="C12" s="13">
        <f>COUNTIF('Clean Data'!$A$2:$A$172,B12)</f>
        <v>17</v>
      </c>
      <c r="D12" s="27">
        <f>SUMIF('Clean Data'!$A$2:$A$172,B12,'Clean Data'!$G$2:$G$172)</f>
        <v>2513.6000000000004</v>
      </c>
      <c r="E12" s="27">
        <f>SUMIF('Clean Data'!$A$2:$A$172,B12,'Clean Data'!$F$2:$F$172)</f>
        <v>1578.1999999999998</v>
      </c>
      <c r="F12" s="27">
        <f>SUMIF('Clean Data'!$A$2:$A$172,B12,'Clean Data'!$H$2:$H$172)</f>
        <v>935.40000000000009</v>
      </c>
      <c r="G12" s="27">
        <f>SUMIF('Clean Data'!$A$2:$A$172,B12,'Clean Data'!$I$2:$I$172)</f>
        <v>93.54</v>
      </c>
      <c r="H12" s="27">
        <f t="shared" si="0"/>
        <v>147.85882352941178</v>
      </c>
      <c r="I12" s="18">
        <f t="shared" si="1"/>
        <v>0.37213558243157224</v>
      </c>
    </row>
    <row r="13" spans="2:9" x14ac:dyDescent="0.3">
      <c r="B13" s="11" t="s">
        <v>68</v>
      </c>
      <c r="C13" s="11">
        <f>COUNTIF('Clean Data'!$A$2:$A$172,B13)</f>
        <v>8</v>
      </c>
      <c r="D13" s="26">
        <f>SUMIF('Clean Data'!$A$2:$A$172,B13,'Clean Data'!$G$2:$G$172)</f>
        <v>1542.8</v>
      </c>
      <c r="E13" s="26">
        <f>SUMIF('Clean Data'!$A$2:$A$172,B13,'Clean Data'!$F$2:$F$172)</f>
        <v>973.59999999999991</v>
      </c>
      <c r="F13" s="26">
        <f>SUMIF('Clean Data'!$A$2:$A$172,B13,'Clean Data'!$H$2:$H$172)</f>
        <v>569.20000000000005</v>
      </c>
      <c r="G13" s="26">
        <f>SUMIF('Clean Data'!$A$2:$A$172,B13,'Clean Data'!$I$2:$I$172)</f>
        <v>56.92</v>
      </c>
      <c r="H13" s="26">
        <f t="shared" si="0"/>
        <v>192.85</v>
      </c>
      <c r="I13" s="17">
        <f t="shared" si="1"/>
        <v>0.36893959035519835</v>
      </c>
    </row>
    <row r="14" spans="2:9" x14ac:dyDescent="0.3">
      <c r="B14" s="13" t="s">
        <v>69</v>
      </c>
      <c r="C14" s="13">
        <f>COUNTIF('Clean Data'!$A$2:$A$172,B14)</f>
        <v>8</v>
      </c>
      <c r="D14" s="27">
        <f>SUMIF('Clean Data'!$A$2:$A$172,B14,'Clean Data'!$G$2:$G$172)</f>
        <v>1153.4000000000001</v>
      </c>
      <c r="E14" s="27">
        <f>SUMIF('Clean Data'!$A$2:$A$172,B14,'Clean Data'!$F$2:$F$172)</f>
        <v>676.3</v>
      </c>
      <c r="F14" s="27">
        <f>SUMIF('Clean Data'!$A$2:$A$172,B14,'Clean Data'!$H$2:$H$172)</f>
        <v>477.1</v>
      </c>
      <c r="G14" s="27">
        <f>SUMIF('Clean Data'!$A$2:$A$172,B14,'Clean Data'!$I$2:$I$172)</f>
        <v>47.709999999999994</v>
      </c>
      <c r="H14" s="27">
        <f t="shared" si="0"/>
        <v>144.17500000000001</v>
      </c>
      <c r="I14" s="18">
        <f t="shared" si="1"/>
        <v>0.41364661002254205</v>
      </c>
    </row>
    <row r="15" spans="2:9" x14ac:dyDescent="0.3">
      <c r="B15" s="11" t="s">
        <v>70</v>
      </c>
      <c r="C15" s="11">
        <f>COUNTIF('Clean Data'!$A$2:$A$172,B15)</f>
        <v>9</v>
      </c>
      <c r="D15" s="26">
        <f>SUMIF('Clean Data'!$A$2:$A$172,B15,'Clean Data'!$G$2:$G$172)</f>
        <v>1477.1999999999998</v>
      </c>
      <c r="E15" s="26">
        <f>SUMIF('Clean Data'!$A$2:$A$172,B15,'Clean Data'!$F$2:$F$172)</f>
        <v>957.9</v>
      </c>
      <c r="F15" s="26">
        <f>SUMIF('Clean Data'!$A$2:$A$172,B15,'Clean Data'!$H$2:$H$172)</f>
        <v>519.30000000000007</v>
      </c>
      <c r="G15" s="26">
        <f>SUMIF('Clean Data'!$A$2:$A$172,B15,'Clean Data'!$I$2:$I$172)</f>
        <v>51.930000000000007</v>
      </c>
      <c r="H15" s="26">
        <f t="shared" si="0"/>
        <v>164.13333333333333</v>
      </c>
      <c r="I15" s="17">
        <f t="shared" si="1"/>
        <v>0.35154346060113739</v>
      </c>
    </row>
    <row r="16" spans="2:9" x14ac:dyDescent="0.3">
      <c r="B16" s="13" t="s">
        <v>71</v>
      </c>
      <c r="C16" s="13">
        <f>COUNTIF('Clean Data'!$A$2:$A$172,B16)</f>
        <v>5</v>
      </c>
      <c r="D16" s="27">
        <f>SUMIF('Clean Data'!$A$2:$A$172,B16,'Clean Data'!$G$2:$G$172)</f>
        <v>898.4</v>
      </c>
      <c r="E16" s="27">
        <f>SUMIF('Clean Data'!$A$2:$A$172,B16,'Clean Data'!$F$2:$F$172)</f>
        <v>552.29999999999995</v>
      </c>
      <c r="F16" s="27">
        <f>SUMIF('Clean Data'!$A$2:$A$172,B16,'Clean Data'!$H$2:$H$172)</f>
        <v>346.1</v>
      </c>
      <c r="G16" s="27">
        <f>SUMIF('Clean Data'!$A$2:$A$172,B16,'Clean Data'!$I$2:$I$172)</f>
        <v>34.61</v>
      </c>
      <c r="H16" s="27">
        <f t="shared" si="0"/>
        <v>179.68</v>
      </c>
      <c r="I16" s="18">
        <f t="shared" si="1"/>
        <v>0.38524042742653608</v>
      </c>
    </row>
    <row r="17" spans="2:9" x14ac:dyDescent="0.3">
      <c r="B17" s="19" t="s">
        <v>77</v>
      </c>
      <c r="C17" s="19">
        <f>SUM(C5:C16)</f>
        <v>171</v>
      </c>
      <c r="D17" s="29">
        <f>SUM(D5:D16)</f>
        <v>17110.599999999999</v>
      </c>
      <c r="E17" s="29">
        <f>SUM(E5:E16)</f>
        <v>10753.899999999998</v>
      </c>
      <c r="F17" s="29">
        <f>SUM(F5:F16)</f>
        <v>6356.7000000000007</v>
      </c>
      <c r="G17" s="29">
        <f>SUM(G5:G16)</f>
        <v>635.67000000000019</v>
      </c>
      <c r="H17" s="29">
        <f t="shared" si="0"/>
        <v>100.06198830409356</v>
      </c>
      <c r="I17" s="20">
        <f t="shared" si="1"/>
        <v>0.37150655149439538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5"/>
  <sheetViews>
    <sheetView showGridLines="0" zoomScaleNormal="100" workbookViewId="0">
      <selection activeCell="H18" sqref="H18"/>
    </sheetView>
  </sheetViews>
  <sheetFormatPr defaultColWidth="8.6640625" defaultRowHeight="14.4" x14ac:dyDescent="0.3"/>
  <cols>
    <col min="1" max="1" width="2" customWidth="1"/>
    <col min="2" max="2" width="20" customWidth="1"/>
    <col min="3" max="3" width="12" customWidth="1"/>
    <col min="4" max="5" width="13" style="28" customWidth="1"/>
    <col min="6" max="6" width="16" style="28" customWidth="1"/>
    <col min="7" max="7" width="15" customWidth="1"/>
    <col min="8" max="8" width="18" customWidth="1"/>
  </cols>
  <sheetData>
    <row r="2" spans="2:8" ht="16.8" x14ac:dyDescent="0.3">
      <c r="B2" s="16" t="s">
        <v>78</v>
      </c>
    </row>
    <row r="4" spans="2:8" x14ac:dyDescent="0.3">
      <c r="B4" s="10" t="s">
        <v>79</v>
      </c>
      <c r="C4" s="10" t="s">
        <v>80</v>
      </c>
      <c r="D4" s="25" t="s">
        <v>2</v>
      </c>
      <c r="E4" s="25" t="s">
        <v>3</v>
      </c>
      <c r="F4" s="25" t="s">
        <v>81</v>
      </c>
      <c r="G4" s="10" t="s">
        <v>76</v>
      </c>
      <c r="H4" s="10" t="s">
        <v>82</v>
      </c>
    </row>
    <row r="5" spans="2:8" x14ac:dyDescent="0.3">
      <c r="B5" s="11" t="s">
        <v>50</v>
      </c>
      <c r="C5" s="11">
        <f>COUNTIF('Clean Data'!$E$2:$E$172,B5)</f>
        <v>20</v>
      </c>
      <c r="D5" s="26">
        <f>SUMIF('Clean Data'!$E$2:$E$172,B5,'Clean Data'!$G$2:$G$172)</f>
        <v>10040</v>
      </c>
      <c r="E5" s="26">
        <f>SUMIF('Clean Data'!$E$2:$E$172,B5,'Clean Data'!$H$2:$H$172)</f>
        <v>3160</v>
      </c>
      <c r="F5" s="26">
        <f t="shared" ref="F5:F14" si="0">IFERROR(E5/C5,0)</f>
        <v>158</v>
      </c>
      <c r="G5" s="17">
        <f t="shared" ref="G5:G14" si="1">IFERROR(E5/D5,0)</f>
        <v>0.3147410358565737</v>
      </c>
      <c r="H5" s="17">
        <f>IFERROR(D5/'Pivot - Monthly'!$D$17,0)</f>
        <v>0.58677077367246044</v>
      </c>
    </row>
    <row r="6" spans="2:8" x14ac:dyDescent="0.3">
      <c r="B6" s="13" t="s">
        <v>41</v>
      </c>
      <c r="C6" s="13">
        <f>COUNTIF('Clean Data'!$E$2:$E$172,B6)</f>
        <v>21</v>
      </c>
      <c r="D6" s="27">
        <f>SUMIF('Clean Data'!$E$2:$E$172,B6,'Clean Data'!$G$2:$G$172)</f>
        <v>2066.4000000000005</v>
      </c>
      <c r="E6" s="27">
        <f>SUMIF('Clean Data'!$E$2:$E$172,B6,'Clean Data'!$H$2:$H$172)</f>
        <v>842.10000000000036</v>
      </c>
      <c r="F6" s="27">
        <f t="shared" si="0"/>
        <v>40.100000000000016</v>
      </c>
      <c r="G6" s="18">
        <f t="shared" si="1"/>
        <v>0.4075203252032521</v>
      </c>
      <c r="H6" s="18">
        <f>IFERROR(D6/'Pivot - Monthly'!$D$17,0)</f>
        <v>0.1207672436968897</v>
      </c>
    </row>
    <row r="7" spans="2:8" x14ac:dyDescent="0.3">
      <c r="B7" s="11" t="s">
        <v>57</v>
      </c>
      <c r="C7" s="11">
        <f>COUNTIF('Clean Data'!$E$2:$E$172,B7)</f>
        <v>16</v>
      </c>
      <c r="D7" s="26">
        <f>SUMIF('Clean Data'!$E$2:$E$172,B7,'Clean Data'!$G$2:$G$172)</f>
        <v>1984</v>
      </c>
      <c r="E7" s="26">
        <f>SUMIF('Clean Data'!$E$2:$E$172,B7,'Clean Data'!$H$2:$H$172)</f>
        <v>1024</v>
      </c>
      <c r="F7" s="26">
        <f t="shared" si="0"/>
        <v>64</v>
      </c>
      <c r="G7" s="17">
        <f t="shared" si="1"/>
        <v>0.5161290322580645</v>
      </c>
      <c r="H7" s="17">
        <f>IFERROR(D7/'Pivot - Monthly'!$D$17,0)</f>
        <v>0.11595151543487664</v>
      </c>
    </row>
    <row r="8" spans="2:8" x14ac:dyDescent="0.3">
      <c r="B8" s="13" t="s">
        <v>54</v>
      </c>
      <c r="C8" s="13">
        <f>COUNTIF('Clean Data'!$E$2:$E$172,B8)</f>
        <v>15</v>
      </c>
      <c r="D8" s="27">
        <f>SUMIF('Clean Data'!$E$2:$E$172,B8,'Clean Data'!$G$2:$G$172)</f>
        <v>1305</v>
      </c>
      <c r="E8" s="27">
        <f>SUMIF('Clean Data'!$E$2:$E$172,B8,'Clean Data'!$H$2:$H$172)</f>
        <v>630</v>
      </c>
      <c r="F8" s="27">
        <f t="shared" si="0"/>
        <v>42</v>
      </c>
      <c r="G8" s="18">
        <f t="shared" si="1"/>
        <v>0.48275862068965519</v>
      </c>
      <c r="H8" s="18">
        <f>IFERROR(D8/'Pivot - Monthly'!$D$17,0)</f>
        <v>7.6268511916589718E-2</v>
      </c>
    </row>
    <row r="9" spans="2:8" x14ac:dyDescent="0.3">
      <c r="B9" s="11" t="s">
        <v>62</v>
      </c>
      <c r="C9" s="11">
        <f>COUNTIF('Clean Data'!$E$2:$E$172,B9)</f>
        <v>9</v>
      </c>
      <c r="D9" s="26">
        <f>SUMIF('Clean Data'!$E$2:$E$172,B9,'Clean Data'!$G$2:$G$172)</f>
        <v>693</v>
      </c>
      <c r="E9" s="26">
        <f>SUMIF('Clean Data'!$E$2:$E$172,B9,'Clean Data'!$H$2:$H$172)</f>
        <v>315</v>
      </c>
      <c r="F9" s="26">
        <f t="shared" si="0"/>
        <v>35</v>
      </c>
      <c r="G9" s="17">
        <f t="shared" si="1"/>
        <v>0.45454545454545453</v>
      </c>
      <c r="H9" s="17">
        <f>IFERROR(D9/'Pivot - Monthly'!$D$17,0)</f>
        <v>4.0501209776395923E-2</v>
      </c>
    </row>
    <row r="10" spans="2:8" x14ac:dyDescent="0.3">
      <c r="B10" s="13" t="s">
        <v>44</v>
      </c>
      <c r="C10" s="13">
        <f>COUNTIF('Clean Data'!$E$2:$E$172,B10)</f>
        <v>24</v>
      </c>
      <c r="D10" s="27">
        <f>SUMIF('Clean Data'!$E$2:$E$172,B10,'Clean Data'!$G$2:$G$172)</f>
        <v>391.20000000000016</v>
      </c>
      <c r="E10" s="27">
        <f>SUMIF('Clean Data'!$E$2:$E$172,B10,'Clean Data'!$H$2:$H$172)</f>
        <v>117.60000000000005</v>
      </c>
      <c r="F10" s="27">
        <f t="shared" si="0"/>
        <v>4.9000000000000021</v>
      </c>
      <c r="G10" s="18">
        <f t="shared" si="1"/>
        <v>0.30061349693251532</v>
      </c>
      <c r="H10" s="18">
        <f>IFERROR(D10/'Pivot - Monthly'!$D$17,0)</f>
        <v>2.2863020583731734E-2</v>
      </c>
    </row>
    <row r="11" spans="2:8" x14ac:dyDescent="0.3">
      <c r="B11" s="11" t="s">
        <v>60</v>
      </c>
      <c r="C11" s="11">
        <f>COUNTIF('Clean Data'!$E$2:$E$172,B11)</f>
        <v>15</v>
      </c>
      <c r="D11" s="26">
        <f>SUMIF('Clean Data'!$E$2:$E$172,B11,'Clean Data'!$G$2:$G$172)</f>
        <v>210</v>
      </c>
      <c r="E11" s="26">
        <f>SUMIF('Clean Data'!$E$2:$E$172,B11,'Clean Data'!$H$2:$H$172)</f>
        <v>75</v>
      </c>
      <c r="F11" s="26">
        <f t="shared" si="0"/>
        <v>5</v>
      </c>
      <c r="G11" s="17">
        <f t="shared" si="1"/>
        <v>0.35714285714285715</v>
      </c>
      <c r="H11" s="17">
        <f>IFERROR(D11/'Pivot - Monthly'!$D$17,0)</f>
        <v>1.2273093871635127E-2</v>
      </c>
    </row>
    <row r="12" spans="2:8" x14ac:dyDescent="0.3">
      <c r="B12" s="13" t="s">
        <v>47</v>
      </c>
      <c r="C12" s="13">
        <f>COUNTIF('Clean Data'!$E$2:$E$172,B12)</f>
        <v>20</v>
      </c>
      <c r="D12" s="27">
        <f>SUMIF('Clean Data'!$E$2:$E$172,B12,'Clean Data'!$G$2:$G$172)</f>
        <v>183.99999999999994</v>
      </c>
      <c r="E12" s="27">
        <f>SUMIF('Clean Data'!$E$2:$E$172,B12,'Clean Data'!$H$2:$H$172)</f>
        <v>59.999999999999993</v>
      </c>
      <c r="F12" s="27">
        <f t="shared" si="0"/>
        <v>2.9999999999999996</v>
      </c>
      <c r="G12" s="18">
        <f t="shared" si="1"/>
        <v>0.32608695652173919</v>
      </c>
      <c r="H12" s="18">
        <f>IFERROR(D12/'Pivot - Monthly'!$D$17,0)</f>
        <v>1.0753567963718394E-2</v>
      </c>
    </row>
    <row r="13" spans="2:8" x14ac:dyDescent="0.3">
      <c r="B13" s="11" t="s">
        <v>51</v>
      </c>
      <c r="C13" s="11">
        <f>COUNTIF('Clean Data'!$E$2:$E$172,B13)</f>
        <v>20</v>
      </c>
      <c r="D13" s="26">
        <f>SUMIF('Clean Data'!$E$2:$E$172,B13,'Clean Data'!$G$2:$G$172)</f>
        <v>160</v>
      </c>
      <c r="E13" s="26">
        <f>SUMIF('Clean Data'!$E$2:$E$172,B13,'Clean Data'!$H$2:$H$172)</f>
        <v>100</v>
      </c>
      <c r="F13" s="26">
        <f t="shared" si="0"/>
        <v>5</v>
      </c>
      <c r="G13" s="17">
        <f t="shared" si="1"/>
        <v>0.625</v>
      </c>
      <c r="H13" s="17">
        <f>IFERROR(D13/'Pivot - Monthly'!$D$17,0)</f>
        <v>9.3509286641029546E-3</v>
      </c>
    </row>
    <row r="14" spans="2:8" x14ac:dyDescent="0.3">
      <c r="B14" s="13" t="s">
        <v>55</v>
      </c>
      <c r="C14" s="13">
        <f>COUNTIF('Clean Data'!$E$2:$E$172,B14)</f>
        <v>11</v>
      </c>
      <c r="D14" s="27">
        <f>SUMIF('Clean Data'!$E$2:$E$172,B14,'Clean Data'!$G$2:$G$172)</f>
        <v>77</v>
      </c>
      <c r="E14" s="27">
        <f>SUMIF('Clean Data'!$E$2:$E$172,B14,'Clean Data'!$H$2:$H$172)</f>
        <v>33</v>
      </c>
      <c r="F14" s="27">
        <f t="shared" si="0"/>
        <v>3</v>
      </c>
      <c r="G14" s="18">
        <f t="shared" si="1"/>
        <v>0.42857142857142855</v>
      </c>
      <c r="H14" s="18">
        <f>IFERROR(D14/'Pivot - Monthly'!$D$17,0)</f>
        <v>4.5001344195995472E-3</v>
      </c>
    </row>
    <row r="15" spans="2:8" x14ac:dyDescent="0.3">
      <c r="B15" s="19" t="s">
        <v>77</v>
      </c>
      <c r="C15" s="19">
        <f>SUM(C5:C14)</f>
        <v>171</v>
      </c>
      <c r="D15" s="29">
        <f>SUM(D5:D14)</f>
        <v>17110.600000000002</v>
      </c>
      <c r="E15" s="29">
        <f>SUM(E5:E14)</f>
        <v>6356.7000000000007</v>
      </c>
      <c r="F15" s="29"/>
      <c r="G15" s="19"/>
      <c r="H15" s="20">
        <f>SUM(H5:H14)</f>
        <v>1.0000000000000002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9"/>
  <sheetViews>
    <sheetView showGridLines="0" zoomScaleNormal="100" workbookViewId="0">
      <selection activeCell="H11" sqref="H11"/>
    </sheetView>
  </sheetViews>
  <sheetFormatPr defaultColWidth="8.6640625" defaultRowHeight="14.4" x14ac:dyDescent="0.3"/>
  <cols>
    <col min="1" max="1" width="2" customWidth="1"/>
    <col min="2" max="2" width="18" customWidth="1"/>
    <col min="3" max="3" width="14" customWidth="1"/>
    <col min="4" max="5" width="13" style="28" customWidth="1"/>
    <col min="6" max="6" width="15" style="28" customWidth="1"/>
    <col min="7" max="7" width="14" style="28" customWidth="1"/>
  </cols>
  <sheetData>
    <row r="2" spans="2:7" ht="16.8" x14ac:dyDescent="0.3">
      <c r="B2" s="16" t="s">
        <v>83</v>
      </c>
    </row>
    <row r="4" spans="2:7" x14ac:dyDescent="0.3">
      <c r="B4" s="10" t="s">
        <v>38</v>
      </c>
      <c r="C4" s="10" t="s">
        <v>73</v>
      </c>
      <c r="D4" s="25" t="s">
        <v>2</v>
      </c>
      <c r="E4" s="25" t="s">
        <v>3</v>
      </c>
      <c r="F4" s="25" t="s">
        <v>75</v>
      </c>
      <c r="G4" s="25" t="s">
        <v>6</v>
      </c>
    </row>
    <row r="5" spans="2:7" x14ac:dyDescent="0.3">
      <c r="B5" s="11" t="s">
        <v>42</v>
      </c>
      <c r="C5" s="11">
        <f>COUNTIF('Clean Data'!$J$2:$J$172,B5)</f>
        <v>33</v>
      </c>
      <c r="D5" s="26">
        <f>SUMIF('Clean Data'!$J$2:$J$172,B5,'Clean Data'!$G$2:$G$172)</f>
        <v>6003.5</v>
      </c>
      <c r="E5" s="26">
        <f>SUMIF('Clean Data'!$J$2:$J$172,B5,'Clean Data'!$H$2:$H$172)</f>
        <v>2015.1</v>
      </c>
      <c r="F5" s="26">
        <f>SUMIF('Clean Data'!$J$2:$J$172,B5,'Clean Data'!$I$2:$I$172)</f>
        <v>201.51000000000002</v>
      </c>
      <c r="G5" s="26">
        <f>IFERROR(D5/C5,0)</f>
        <v>181.92424242424244</v>
      </c>
    </row>
    <row r="6" spans="2:7" x14ac:dyDescent="0.3">
      <c r="B6" s="13" t="s">
        <v>48</v>
      </c>
      <c r="C6" s="13">
        <f>COUNTIF('Clean Data'!$J$2:$J$172,B6)</f>
        <v>66</v>
      </c>
      <c r="D6" s="27">
        <f>SUMIF('Clean Data'!$J$2:$J$172,B6,'Clean Data'!$G$2:$G$172)</f>
        <v>5661.0999999999985</v>
      </c>
      <c r="E6" s="27">
        <f>SUMIF('Clean Data'!$J$2:$J$172,B6,'Clean Data'!$H$2:$H$172)</f>
        <v>2235.8999999999996</v>
      </c>
      <c r="F6" s="27">
        <f>SUMIF('Clean Data'!$J$2:$J$172,B6,'Clean Data'!$I$2:$I$172)</f>
        <v>223.59000000000006</v>
      </c>
      <c r="G6" s="27">
        <f>IFERROR(D6/C6,0)</f>
        <v>85.774242424242402</v>
      </c>
    </row>
    <row r="7" spans="2:7" x14ac:dyDescent="0.3">
      <c r="B7" s="11" t="s">
        <v>52</v>
      </c>
      <c r="C7" s="11">
        <f>COUNTIF('Clean Data'!$J$2:$J$172,B7)</f>
        <v>31</v>
      </c>
      <c r="D7" s="26">
        <f>SUMIF('Clean Data'!$J$2:$J$172,B7,'Clean Data'!$G$2:$G$172)</f>
        <v>3035.3</v>
      </c>
      <c r="E7" s="26">
        <f>SUMIF('Clean Data'!$J$2:$J$172,B7,'Clean Data'!$H$2:$H$172)</f>
        <v>1084.0999999999999</v>
      </c>
      <c r="F7" s="26">
        <f>SUMIF('Clean Data'!$J$2:$J$172,B7,'Clean Data'!$I$2:$I$172)</f>
        <v>108.41000000000003</v>
      </c>
      <c r="G7" s="26">
        <f>IFERROR(D7/C7,0)</f>
        <v>97.91290322580646</v>
      </c>
    </row>
    <row r="8" spans="2:7" x14ac:dyDescent="0.3">
      <c r="B8" s="13" t="s">
        <v>45</v>
      </c>
      <c r="C8" s="13">
        <f>COUNTIF('Clean Data'!$J$2:$J$172,B8)</f>
        <v>41</v>
      </c>
      <c r="D8" s="27">
        <f>SUMIF('Clean Data'!$J$2:$J$172,B8,'Clean Data'!$G$2:$G$172)</f>
        <v>2410.7000000000003</v>
      </c>
      <c r="E8" s="27">
        <f>SUMIF('Clean Data'!$J$2:$J$172,B8,'Clean Data'!$H$2:$H$172)</f>
        <v>1021.6</v>
      </c>
      <c r="F8" s="27">
        <f>SUMIF('Clean Data'!$J$2:$J$172,B8,'Clean Data'!$I$2:$I$172)</f>
        <v>102.16000000000003</v>
      </c>
      <c r="G8" s="27">
        <f>IFERROR(D8/C8,0)</f>
        <v>58.797560975609763</v>
      </c>
    </row>
    <row r="9" spans="2:7" x14ac:dyDescent="0.3">
      <c r="B9" s="19" t="s">
        <v>77</v>
      </c>
      <c r="C9" s="19">
        <f>SUM(C5:C8)</f>
        <v>171</v>
      </c>
      <c r="D9" s="29">
        <f>SUM(D5:D8)</f>
        <v>17110.599999999999</v>
      </c>
      <c r="E9" s="29">
        <f>SUM(E5:E8)</f>
        <v>6356.7000000000007</v>
      </c>
      <c r="F9" s="29">
        <f>SUM(F5:F8)</f>
        <v>635.67000000000007</v>
      </c>
      <c r="G9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11"/>
  <sheetViews>
    <sheetView showGridLines="0" zoomScaleNormal="100" workbookViewId="0">
      <selection activeCell="F28" sqref="F28"/>
    </sheetView>
  </sheetViews>
  <sheetFormatPr defaultColWidth="8.6640625" defaultRowHeight="14.4" x14ac:dyDescent="0.3"/>
  <cols>
    <col min="1" max="1" width="2" customWidth="1"/>
    <col min="2" max="2" width="12" customWidth="1"/>
    <col min="3" max="3" width="14" customWidth="1"/>
    <col min="4" max="5" width="13" style="28" customWidth="1"/>
    <col min="6" max="6" width="15" style="28" customWidth="1"/>
  </cols>
  <sheetData>
    <row r="2" spans="2:6" ht="16.8" x14ac:dyDescent="0.3">
      <c r="B2" s="16" t="s">
        <v>84</v>
      </c>
    </row>
    <row r="4" spans="2:6" x14ac:dyDescent="0.3">
      <c r="B4" s="10" t="s">
        <v>85</v>
      </c>
      <c r="C4" s="10" t="s">
        <v>73</v>
      </c>
      <c r="D4" s="25" t="s">
        <v>2</v>
      </c>
      <c r="E4" s="25" t="s">
        <v>3</v>
      </c>
      <c r="F4" s="25" t="s">
        <v>6</v>
      </c>
    </row>
    <row r="5" spans="2:6" x14ac:dyDescent="0.3">
      <c r="B5" s="11" t="s">
        <v>49</v>
      </c>
      <c r="C5" s="11">
        <f>COUNTIF('Clean Data'!$K$2:$K$172,B5)</f>
        <v>50</v>
      </c>
      <c r="D5" s="26">
        <f>SUMIF('Clean Data'!$K$2:$K$172,B5,'Clean Data'!$G$2:$G$172)</f>
        <v>5659.9999999999982</v>
      </c>
      <c r="E5" s="26">
        <f>SUMIF('Clean Data'!$K$2:$K$172,B5,'Clean Data'!$H$2:$H$172)</f>
        <v>1979.0999999999995</v>
      </c>
      <c r="F5" s="26">
        <f t="shared" ref="F5:F10" si="0">IFERROR(D5/C5,0)</f>
        <v>113.19999999999996</v>
      </c>
    </row>
    <row r="6" spans="2:6" x14ac:dyDescent="0.3">
      <c r="B6" s="13" t="s">
        <v>58</v>
      </c>
      <c r="C6" s="13">
        <f>COUNTIF('Clean Data'!$K$2:$K$172,B6)</f>
        <v>38</v>
      </c>
      <c r="D6" s="27">
        <f>SUMIF('Clean Data'!$K$2:$K$172,B6,'Clean Data'!$G$2:$G$172)</f>
        <v>4722.5</v>
      </c>
      <c r="E6" s="27">
        <f>SUMIF('Clean Data'!$K$2:$K$172,B6,'Clean Data'!$H$2:$H$172)</f>
        <v>1710.1</v>
      </c>
      <c r="F6" s="27">
        <f t="shared" si="0"/>
        <v>124.27631578947368</v>
      </c>
    </row>
    <row r="7" spans="2:6" x14ac:dyDescent="0.3">
      <c r="B7" s="11" t="s">
        <v>46</v>
      </c>
      <c r="C7" s="11">
        <f>COUNTIF('Clean Data'!$K$2:$K$172,B7)</f>
        <v>46</v>
      </c>
      <c r="D7" s="26">
        <f>SUMIF('Clean Data'!$K$2:$K$172,B7,'Clean Data'!$G$2:$G$172)</f>
        <v>3537.6000000000004</v>
      </c>
      <c r="E7" s="26">
        <f>SUMIF('Clean Data'!$K$2:$K$172,B7,'Clean Data'!$H$2:$H$172)</f>
        <v>1485.0999999999997</v>
      </c>
      <c r="F7" s="26">
        <f t="shared" si="0"/>
        <v>76.904347826086962</v>
      </c>
    </row>
    <row r="8" spans="2:6" x14ac:dyDescent="0.3">
      <c r="B8" s="13" t="s">
        <v>43</v>
      </c>
      <c r="C8" s="13">
        <f>COUNTIF('Clean Data'!$K$2:$K$172,B8)</f>
        <v>20</v>
      </c>
      <c r="D8" s="27">
        <f>SUMIF('Clean Data'!$K$2:$K$172,B8,'Clean Data'!$G$2:$G$172)</f>
        <v>1776.9</v>
      </c>
      <c r="E8" s="27">
        <f>SUMIF('Clean Data'!$K$2:$K$172,B8,'Clean Data'!$H$2:$H$172)</f>
        <v>681.8</v>
      </c>
      <c r="F8" s="27">
        <f t="shared" si="0"/>
        <v>88.844999999999999</v>
      </c>
    </row>
    <row r="9" spans="2:6" x14ac:dyDescent="0.3">
      <c r="B9" s="11" t="s">
        <v>59</v>
      </c>
      <c r="C9" s="11">
        <f>COUNTIF('Clean Data'!$K$2:$K$172,B9)</f>
        <v>11</v>
      </c>
      <c r="D9" s="26">
        <f>SUMIF('Clean Data'!$K$2:$K$172,B9,'Clean Data'!$G$2:$G$172)</f>
        <v>1347.6</v>
      </c>
      <c r="E9" s="26">
        <f>SUMIF('Clean Data'!$K$2:$K$172,B9,'Clean Data'!$H$2:$H$172)</f>
        <v>476.8</v>
      </c>
      <c r="F9" s="26">
        <f t="shared" si="0"/>
        <v>122.5090909090909</v>
      </c>
    </row>
    <row r="10" spans="2:6" x14ac:dyDescent="0.3">
      <c r="B10" s="13" t="s">
        <v>53</v>
      </c>
      <c r="C10" s="13">
        <f>COUNTIF('Clean Data'!$K$2:$K$172,B10)</f>
        <v>6</v>
      </c>
      <c r="D10" s="27">
        <f>SUMIF('Clean Data'!$K$2:$K$172,B10,'Clean Data'!$G$2:$G$172)</f>
        <v>66</v>
      </c>
      <c r="E10" s="27">
        <f>SUMIF('Clean Data'!$K$2:$K$172,B10,'Clean Data'!$H$2:$H$172)</f>
        <v>23.799999999999997</v>
      </c>
      <c r="F10" s="27">
        <f t="shared" si="0"/>
        <v>11</v>
      </c>
    </row>
    <row r="11" spans="2:6" x14ac:dyDescent="0.3">
      <c r="B11" s="19" t="s">
        <v>77</v>
      </c>
      <c r="C11" s="19">
        <f>SUM(C5:C10)</f>
        <v>171</v>
      </c>
      <c r="D11" s="29">
        <f>SUM(D5:D10)</f>
        <v>17110.599999999999</v>
      </c>
      <c r="E11" s="29">
        <f>SUM(E5:E10)</f>
        <v>6356.7</v>
      </c>
      <c r="F11" s="2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showGridLines="0" topLeftCell="A8" zoomScale="50" zoomScaleNormal="50" workbookViewId="0">
      <selection activeCell="G38" sqref="G38"/>
    </sheetView>
  </sheetViews>
  <sheetFormatPr defaultColWidth="8.6640625" defaultRowHeight="14.4" x14ac:dyDescent="0.3"/>
  <cols>
    <col min="1" max="1" width="2" customWidth="1"/>
    <col min="2" max="21" width="11" customWidth="1"/>
  </cols>
  <sheetData>
    <row r="1" spans="2:19" ht="18" customHeight="1" x14ac:dyDescent="0.3"/>
    <row r="2" spans="2:19" ht="18" customHeight="1" x14ac:dyDescent="0.4">
      <c r="B2" s="8" t="s">
        <v>0</v>
      </c>
    </row>
    <row r="3" spans="2:19" ht="18" customHeight="1" x14ac:dyDescent="0.3">
      <c r="B3" s="9" t="s">
        <v>1</v>
      </c>
    </row>
    <row r="4" spans="2:19" ht="18" customHeight="1" x14ac:dyDescent="0.3"/>
    <row r="5" spans="2:19" ht="18" customHeight="1" x14ac:dyDescent="0.3">
      <c r="B5" s="7" t="s">
        <v>2</v>
      </c>
      <c r="C5" s="7"/>
      <c r="D5" s="7"/>
      <c r="E5" s="7" t="s">
        <v>3</v>
      </c>
      <c r="F5" s="7"/>
      <c r="G5" s="7"/>
      <c r="H5" s="7" t="s">
        <v>4</v>
      </c>
      <c r="I5" s="7"/>
      <c r="J5" s="7"/>
      <c r="K5" s="7" t="s">
        <v>5</v>
      </c>
      <c r="L5" s="7"/>
      <c r="M5" s="7"/>
      <c r="N5" s="7" t="s">
        <v>6</v>
      </c>
      <c r="O5" s="7"/>
      <c r="P5" s="7"/>
      <c r="Q5" s="7" t="s">
        <v>7</v>
      </c>
      <c r="R5" s="7"/>
      <c r="S5" s="7"/>
    </row>
    <row r="6" spans="2:19" ht="18" customHeight="1" x14ac:dyDescent="0.3">
      <c r="B6" s="6">
        <f>'Pivot - Monthly'!D17</f>
        <v>17110.599999999999</v>
      </c>
      <c r="C6" s="6"/>
      <c r="D6" s="6"/>
      <c r="E6" s="6">
        <f>'Pivot - Monthly'!F17</f>
        <v>6356.7000000000007</v>
      </c>
      <c r="F6" s="6"/>
      <c r="G6" s="6"/>
      <c r="H6" s="5">
        <f>'Pivot - Monthly'!C17</f>
        <v>171</v>
      </c>
      <c r="I6" s="5"/>
      <c r="J6" s="5"/>
      <c r="K6" s="4">
        <f>'Pivot - Monthly'!I17</f>
        <v>0.37150655149439538</v>
      </c>
      <c r="L6" s="4"/>
      <c r="M6" s="4"/>
      <c r="N6" s="6">
        <f>'Pivot - Monthly'!D17/'Pivot - Monthly'!C17</f>
        <v>100.06198830409356</v>
      </c>
      <c r="O6" s="6"/>
      <c r="P6" s="6"/>
      <c r="Q6" s="3" t="str">
        <f>'Pivot - Product'!B5</f>
        <v>Water Pump</v>
      </c>
      <c r="R6" s="3"/>
      <c r="S6" s="3"/>
    </row>
    <row r="7" spans="2:19" ht="18" customHeight="1" x14ac:dyDescent="0.3">
      <c r="B7" s="6"/>
      <c r="C7" s="6"/>
      <c r="D7" s="6"/>
      <c r="E7" s="6"/>
      <c r="F7" s="6"/>
      <c r="G7" s="6"/>
      <c r="H7" s="5"/>
      <c r="I7" s="5"/>
      <c r="J7" s="5"/>
      <c r="K7" s="4"/>
      <c r="L7" s="4"/>
      <c r="M7" s="4"/>
      <c r="N7" s="6"/>
      <c r="O7" s="6"/>
      <c r="P7" s="6"/>
      <c r="Q7" s="3"/>
      <c r="R7" s="3"/>
      <c r="S7" s="3"/>
    </row>
    <row r="8" spans="2:19" ht="18" customHeight="1" x14ac:dyDescent="0.3"/>
    <row r="9" spans="2:19" ht="18" customHeight="1" x14ac:dyDescent="0.3">
      <c r="B9" s="7" t="s">
        <v>8</v>
      </c>
      <c r="C9" s="7"/>
      <c r="D9" s="7"/>
      <c r="E9" s="7"/>
      <c r="F9" s="7" t="s">
        <v>9</v>
      </c>
      <c r="G9" s="7"/>
      <c r="H9" s="7"/>
      <c r="I9" s="7"/>
      <c r="J9" s="7" t="s">
        <v>10</v>
      </c>
      <c r="K9" s="7"/>
      <c r="L9" s="7"/>
      <c r="M9" s="7"/>
    </row>
    <row r="10" spans="2:19" ht="18" customHeight="1" x14ac:dyDescent="0.3">
      <c r="B10" s="2" t="str">
        <f>'Pivot - Sales Person'!B5</f>
        <v>Charlie Barns</v>
      </c>
      <c r="C10" s="2"/>
      <c r="D10" s="2"/>
      <c r="E10" s="2"/>
      <c r="F10" s="2" t="str">
        <f>'Pivot - Location'!B5</f>
        <v>AZ</v>
      </c>
      <c r="G10" s="2"/>
      <c r="H10" s="2"/>
      <c r="I10" s="2"/>
      <c r="J10" s="1">
        <f>Forecast!E18</f>
        <v>1630.8515151515151</v>
      </c>
      <c r="K10" s="1"/>
      <c r="L10" s="1"/>
      <c r="M10" s="1"/>
    </row>
    <row r="11" spans="2:19" ht="18" customHeight="1" x14ac:dyDescent="0.3"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</row>
    <row r="12" spans="2:19" ht="18" customHeight="1" x14ac:dyDescent="0.3"/>
    <row r="13" spans="2:19" ht="18" customHeight="1" x14ac:dyDescent="0.3"/>
    <row r="14" spans="2:19" ht="18" customHeight="1" x14ac:dyDescent="0.3"/>
    <row r="15" spans="2:19" ht="18" customHeight="1" x14ac:dyDescent="0.3"/>
    <row r="16" spans="2:19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18">
    <mergeCell ref="B9:E9"/>
    <mergeCell ref="F9:I9"/>
    <mergeCell ref="J9:M9"/>
    <mergeCell ref="B10:E11"/>
    <mergeCell ref="F10:I11"/>
    <mergeCell ref="J10:M11"/>
    <mergeCell ref="Q5:S5"/>
    <mergeCell ref="B6:D7"/>
    <mergeCell ref="E6:G7"/>
    <mergeCell ref="H6:J7"/>
    <mergeCell ref="K6:M7"/>
    <mergeCell ref="N6:P7"/>
    <mergeCell ref="Q6:S7"/>
    <mergeCell ref="B5:D5"/>
    <mergeCell ref="E5:G5"/>
    <mergeCell ref="H5:J5"/>
    <mergeCell ref="K5:M5"/>
    <mergeCell ref="N5:P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28"/>
  <sheetViews>
    <sheetView showGridLines="0" zoomScaleNormal="100" workbookViewId="0">
      <selection activeCell="H11" sqref="H11"/>
    </sheetView>
  </sheetViews>
  <sheetFormatPr defaultColWidth="8.6640625" defaultRowHeight="14.4" x14ac:dyDescent="0.3"/>
  <cols>
    <col min="1" max="1" width="2" customWidth="1"/>
    <col min="2" max="3" width="14" customWidth="1"/>
    <col min="4" max="5" width="16" style="28" customWidth="1"/>
  </cols>
  <sheetData>
    <row r="2" spans="2:5" ht="16.8" x14ac:dyDescent="0.3">
      <c r="B2" s="16" t="s">
        <v>86</v>
      </c>
    </row>
    <row r="3" spans="2:5" x14ac:dyDescent="0.3">
      <c r="B3" s="9" t="s">
        <v>87</v>
      </c>
    </row>
    <row r="5" spans="2:5" x14ac:dyDescent="0.3">
      <c r="B5" s="10" t="s">
        <v>88</v>
      </c>
      <c r="C5" s="10" t="s">
        <v>29</v>
      </c>
      <c r="D5" s="25" t="s">
        <v>89</v>
      </c>
      <c r="E5" s="25" t="s">
        <v>90</v>
      </c>
    </row>
    <row r="6" spans="2:5" x14ac:dyDescent="0.3">
      <c r="B6" s="11">
        <v>1</v>
      </c>
      <c r="C6" s="11" t="s">
        <v>40</v>
      </c>
      <c r="D6" s="26">
        <f>'Pivot - Monthly'!D5</f>
        <v>1418.6999999999998</v>
      </c>
      <c r="E6" s="26">
        <f>SLOPE('Pivot - Monthly'!$D$5:$D$16,$B$6:$B$17)*B6+INTERCEPT('Pivot - Monthly'!$D$5:$D$16,$B$6:$B$17)</f>
        <v>1252.4487179487178</v>
      </c>
    </row>
    <row r="7" spans="2:5" x14ac:dyDescent="0.3">
      <c r="B7" s="13">
        <v>2</v>
      </c>
      <c r="C7" s="13" t="s">
        <v>56</v>
      </c>
      <c r="D7" s="27">
        <f>'Pivot - Monthly'!D6</f>
        <v>971.19999999999993</v>
      </c>
      <c r="E7" s="27">
        <f>SLOPE('Pivot - Monthly'!$D$5:$D$16,$B$6:$B$17)*B7+INTERCEPT('Pivot - Monthly'!$D$5:$D$16,$B$6:$B$17)</f>
        <v>1283.9822843822842</v>
      </c>
    </row>
    <row r="8" spans="2:5" x14ac:dyDescent="0.3">
      <c r="B8" s="11">
        <v>3</v>
      </c>
      <c r="C8" s="11" t="s">
        <v>61</v>
      </c>
      <c r="D8" s="26">
        <f>'Pivot - Monthly'!D7</f>
        <v>1875.4</v>
      </c>
      <c r="E8" s="26">
        <f>SLOPE('Pivot - Monthly'!$D$5:$D$16,$B$6:$B$17)*B8+INTERCEPT('Pivot - Monthly'!$D$5:$D$16,$B$6:$B$17)</f>
        <v>1315.5158508158506</v>
      </c>
    </row>
    <row r="9" spans="2:5" x14ac:dyDescent="0.3">
      <c r="B9" s="13">
        <v>4</v>
      </c>
      <c r="C9" s="13" t="s">
        <v>63</v>
      </c>
      <c r="D9" s="27">
        <f>'Pivot - Monthly'!D8</f>
        <v>510.7</v>
      </c>
      <c r="E9" s="27">
        <f>SLOPE('Pivot - Monthly'!$D$5:$D$16,$B$6:$B$17)*B9+INTERCEPT('Pivot - Monthly'!$D$5:$D$16,$B$6:$B$17)</f>
        <v>1347.049417249417</v>
      </c>
    </row>
    <row r="10" spans="2:5" x14ac:dyDescent="0.3">
      <c r="B10" s="11">
        <v>5</v>
      </c>
      <c r="C10" s="11" t="s">
        <v>64</v>
      </c>
      <c r="D10" s="26">
        <f>'Pivot - Monthly'!D9</f>
        <v>347.40000000000003</v>
      </c>
      <c r="E10" s="26">
        <f>SLOPE('Pivot - Monthly'!$D$5:$D$16,$B$6:$B$17)*B10+INTERCEPT('Pivot - Monthly'!$D$5:$D$16,$B$6:$B$17)</f>
        <v>1378.5829836829835</v>
      </c>
    </row>
    <row r="11" spans="2:5" x14ac:dyDescent="0.3">
      <c r="B11" s="13">
        <v>6</v>
      </c>
      <c r="C11" s="13" t="s">
        <v>65</v>
      </c>
      <c r="D11" s="27">
        <f>'Pivot - Monthly'!D10</f>
        <v>409.50000000000006</v>
      </c>
      <c r="E11" s="27">
        <f>SLOPE('Pivot - Monthly'!$D$5:$D$16,$B$6:$B$17)*B11+INTERCEPT('Pivot - Monthly'!$D$5:$D$16,$B$6:$B$17)</f>
        <v>1410.1165501165501</v>
      </c>
    </row>
    <row r="12" spans="2:5" x14ac:dyDescent="0.3">
      <c r="B12" s="11">
        <v>7</v>
      </c>
      <c r="C12" s="11" t="s">
        <v>66</v>
      </c>
      <c r="D12" s="26">
        <f>'Pivot - Monthly'!D11</f>
        <v>3992.3</v>
      </c>
      <c r="E12" s="26">
        <f>SLOPE('Pivot - Monthly'!$D$5:$D$16,$B$6:$B$17)*B12+INTERCEPT('Pivot - Monthly'!$D$5:$D$16,$B$6:$B$17)</f>
        <v>1441.6501165501165</v>
      </c>
    </row>
    <row r="13" spans="2:5" x14ac:dyDescent="0.3">
      <c r="B13" s="13">
        <v>8</v>
      </c>
      <c r="C13" s="13" t="s">
        <v>67</v>
      </c>
      <c r="D13" s="27">
        <f>'Pivot - Monthly'!D12</f>
        <v>2513.6000000000004</v>
      </c>
      <c r="E13" s="27">
        <f>SLOPE('Pivot - Monthly'!$D$5:$D$16,$B$6:$B$17)*B13+INTERCEPT('Pivot - Monthly'!$D$5:$D$16,$B$6:$B$17)</f>
        <v>1473.183682983683</v>
      </c>
    </row>
    <row r="14" spans="2:5" x14ac:dyDescent="0.3">
      <c r="B14" s="11">
        <v>9</v>
      </c>
      <c r="C14" s="11" t="s">
        <v>68</v>
      </c>
      <c r="D14" s="26">
        <f>'Pivot - Monthly'!D13</f>
        <v>1542.8</v>
      </c>
      <c r="E14" s="26">
        <f>SLOPE('Pivot - Monthly'!$D$5:$D$16,$B$6:$B$17)*B14+INTERCEPT('Pivot - Monthly'!$D$5:$D$16,$B$6:$B$17)</f>
        <v>1504.7172494172494</v>
      </c>
    </row>
    <row r="15" spans="2:5" x14ac:dyDescent="0.3">
      <c r="B15" s="13">
        <v>10</v>
      </c>
      <c r="C15" s="13" t="s">
        <v>69</v>
      </c>
      <c r="D15" s="27">
        <f>'Pivot - Monthly'!D14</f>
        <v>1153.4000000000001</v>
      </c>
      <c r="E15" s="27">
        <f>SLOPE('Pivot - Monthly'!$D$5:$D$16,$B$6:$B$17)*B15+INTERCEPT('Pivot - Monthly'!$D$5:$D$16,$B$6:$B$17)</f>
        <v>1536.2508158508158</v>
      </c>
    </row>
    <row r="16" spans="2:5" x14ac:dyDescent="0.3">
      <c r="B16" s="11">
        <v>11</v>
      </c>
      <c r="C16" s="11" t="s">
        <v>70</v>
      </c>
      <c r="D16" s="26">
        <f>'Pivot - Monthly'!D15</f>
        <v>1477.1999999999998</v>
      </c>
      <c r="E16" s="26">
        <f>SLOPE('Pivot - Monthly'!$D$5:$D$16,$B$6:$B$17)*B16+INTERCEPT('Pivot - Monthly'!$D$5:$D$16,$B$6:$B$17)</f>
        <v>1567.7843822843822</v>
      </c>
    </row>
    <row r="17" spans="2:6" x14ac:dyDescent="0.3">
      <c r="B17" s="13">
        <v>12</v>
      </c>
      <c r="C17" s="13" t="s">
        <v>71</v>
      </c>
      <c r="D17" s="27">
        <f>'Pivot - Monthly'!D16</f>
        <v>898.4</v>
      </c>
      <c r="E17" s="27">
        <f>SLOPE('Pivot - Monthly'!$D$5:$D$16,$B$6:$B$17)*B17+INTERCEPT('Pivot - Monthly'!$D$5:$D$16,$B$6:$B$17)</f>
        <v>1599.3179487179486</v>
      </c>
    </row>
    <row r="18" spans="2:6" x14ac:dyDescent="0.3">
      <c r="B18" s="21">
        <v>13</v>
      </c>
      <c r="C18" s="21" t="s">
        <v>91</v>
      </c>
      <c r="D18" s="30"/>
      <c r="E18" s="30">
        <f>SLOPE('Pivot - Monthly'!$D$5:$D$16,$B$6:$B$17)*B18+INTERCEPT('Pivot - Monthly'!$D$5:$D$16,$B$6:$B$17)</f>
        <v>1630.8515151515151</v>
      </c>
    </row>
    <row r="19" spans="2:6" x14ac:dyDescent="0.3">
      <c r="B19" s="21">
        <v>14</v>
      </c>
      <c r="C19" s="21" t="s">
        <v>92</v>
      </c>
      <c r="D19" s="30"/>
      <c r="E19" s="30">
        <f>SLOPE('Pivot - Monthly'!$D$5:$D$16,$B$6:$B$17)*B19+INTERCEPT('Pivot - Monthly'!$D$5:$D$16,$B$6:$B$17)</f>
        <v>1662.3850815850815</v>
      </c>
    </row>
    <row r="20" spans="2:6" x14ac:dyDescent="0.3">
      <c r="B20" s="21">
        <v>15</v>
      </c>
      <c r="C20" s="21" t="s">
        <v>93</v>
      </c>
      <c r="D20" s="30"/>
      <c r="E20" s="30">
        <f>SLOPE('Pivot - Monthly'!$D$5:$D$16,$B$6:$B$17)*B20+INTERCEPT('Pivot - Monthly'!$D$5:$D$16,$B$6:$B$17)</f>
        <v>1693.9186480186481</v>
      </c>
    </row>
    <row r="22" spans="2:6" x14ac:dyDescent="0.3">
      <c r="B22" s="22" t="s">
        <v>94</v>
      </c>
      <c r="E22" s="31">
        <f>SUM(E18:E20)</f>
        <v>4987.1552447552449</v>
      </c>
    </row>
    <row r="24" spans="2:6" x14ac:dyDescent="0.3">
      <c r="B24" s="22" t="s">
        <v>95</v>
      </c>
      <c r="E24" s="28">
        <f>RSQ('Pivot - Monthly'!$D$5:$D$16,$B$6:$B$17)</f>
        <v>1.227825551867916E-2</v>
      </c>
      <c r="F24" s="23" t="s">
        <v>96</v>
      </c>
    </row>
    <row r="26" spans="2:6" ht="16.8" x14ac:dyDescent="0.3">
      <c r="B26" s="16" t="s">
        <v>97</v>
      </c>
    </row>
    <row r="27" spans="2:6" x14ac:dyDescent="0.3">
      <c r="B27" s="24" t="s">
        <v>98</v>
      </c>
      <c r="E27" s="28">
        <f>AVERAGE(D15:D17)</f>
        <v>1176.3333333333333</v>
      </c>
    </row>
    <row r="28" spans="2:6" x14ac:dyDescent="0.3">
      <c r="B28" s="22" t="s">
        <v>99</v>
      </c>
      <c r="E28" s="31">
        <f>E27</f>
        <v>1176.3333333333333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3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34" customWidth="1"/>
    <col min="3" max="3" width="55" customWidth="1"/>
    <col min="4" max="4" width="14" customWidth="1"/>
  </cols>
  <sheetData>
    <row r="2" spans="2:4" ht="21" x14ac:dyDescent="0.4">
      <c r="B2" s="8" t="s">
        <v>11</v>
      </c>
    </row>
    <row r="3" spans="2:4" x14ac:dyDescent="0.3">
      <c r="B3" s="9" t="s">
        <v>12</v>
      </c>
    </row>
    <row r="5" spans="2:4" x14ac:dyDescent="0.3">
      <c r="B5" s="10" t="s">
        <v>13</v>
      </c>
      <c r="C5" s="10" t="s">
        <v>14</v>
      </c>
      <c r="D5" s="10" t="s">
        <v>15</v>
      </c>
    </row>
    <row r="6" spans="2:4" x14ac:dyDescent="0.3">
      <c r="B6" s="11" t="s">
        <v>16</v>
      </c>
      <c r="C6" s="11" t="s">
        <v>17</v>
      </c>
      <c r="D6" s="12">
        <v>64</v>
      </c>
    </row>
    <row r="7" spans="2:4" x14ac:dyDescent="0.3">
      <c r="B7" s="13" t="s">
        <v>18</v>
      </c>
      <c r="C7" s="13" t="s">
        <v>19</v>
      </c>
      <c r="D7" s="14">
        <v>15</v>
      </c>
    </row>
    <row r="8" spans="2:4" x14ac:dyDescent="0.3">
      <c r="B8" s="11" t="s">
        <v>20</v>
      </c>
      <c r="C8" s="11" t="s">
        <v>21</v>
      </c>
      <c r="D8" s="12">
        <v>66</v>
      </c>
    </row>
    <row r="9" spans="2:4" x14ac:dyDescent="0.3">
      <c r="B9" s="13" t="s">
        <v>22</v>
      </c>
      <c r="C9" s="13" t="s">
        <v>23</v>
      </c>
      <c r="D9" s="14">
        <v>0</v>
      </c>
    </row>
    <row r="10" spans="2:4" x14ac:dyDescent="0.3">
      <c r="B10" s="11" t="s">
        <v>24</v>
      </c>
      <c r="C10" s="11" t="s">
        <v>25</v>
      </c>
      <c r="D10" s="12">
        <v>171</v>
      </c>
    </row>
    <row r="11" spans="2:4" x14ac:dyDescent="0.3">
      <c r="B11" s="13" t="s">
        <v>26</v>
      </c>
      <c r="C11" s="13" t="s">
        <v>27</v>
      </c>
      <c r="D11" s="14">
        <v>171</v>
      </c>
    </row>
    <row r="13" spans="2:4" x14ac:dyDescent="0.3">
      <c r="B13" s="15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 Data</vt:lpstr>
      <vt:lpstr>Pivot - Monthly</vt:lpstr>
      <vt:lpstr>Pivot - Product</vt:lpstr>
      <vt:lpstr>Pivot - Sales Person</vt:lpstr>
      <vt:lpstr>Pivot - Location</vt:lpstr>
      <vt:lpstr>Dashboard</vt:lpstr>
      <vt:lpstr>Forecast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auwalharuna640@gmail.com</cp:lastModifiedBy>
  <cp:revision>1</cp:revision>
  <dcterms:created xsi:type="dcterms:W3CDTF">2026-07-20T23:08:12Z</dcterms:created>
  <dcterms:modified xsi:type="dcterms:W3CDTF">2026-07-20T21:25:40Z</dcterms:modified>
  <dc:language>en-US</dc:language>
</cp:coreProperties>
</file>