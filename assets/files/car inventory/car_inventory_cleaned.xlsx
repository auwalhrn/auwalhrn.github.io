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ashboard" sheetId="2" state="visible" r:id="rId4"/>
    <sheet name="Cleaned Data" sheetId="3" state="visible" r:id="rId5"/>
    <sheet name="Pivot - By Make" sheetId="4" state="visible" r:id="rId6"/>
    <sheet name="Pivot - By Model" sheetId="5" state="visible" r:id="rId7"/>
    <sheet name="Pivot - Warranty &amp; Colo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<sst xmlns="http://schemas.openxmlformats.org/spreadsheetml/2006/main" count="473" uniqueCount="169">
  <si>
    <t xml:space="preserve">Key Assumptions</t>
  </si>
  <si>
    <t xml:space="preserve">Report / As-of Year</t>
  </si>
  <si>
    <t xml:space="preserve">&lt;- Used to compute Age = Report Year - Manufacture Year. Source: user-provided current date (Jul 2026).</t>
  </si>
  <si>
    <t xml:space="preserve">Two-digit year window rule</t>
  </si>
  <si>
    <t xml:space="preserve">Year &gt;= 90 -&gt; 1900+Year, else 2000+Year</t>
  </si>
  <si>
    <t xml:space="preserve">Inferred: dataset only contains 2-digit years 0-14 and 96-99, so this rule is unambiguous. Validated against existing Age column (0 mismatches).</t>
  </si>
  <si>
    <t xml:space="preserve">Data Cleaning Log</t>
  </si>
  <si>
    <t xml:space="preserve">- Removed 12 trailing rows with no Car ID</t>
  </si>
  <si>
    <t xml:space="preserve">These were leftover scratch/lookup rows (partial, scrambled Make/Model code mappings), not inventory records. Excluded from all totals.</t>
  </si>
  <si>
    <t xml:space="preserve">- Make 'TY' Full Name corrected HYUNDAI -&gt; TOYOTA</t>
  </si>
  <si>
    <t xml:space="preserve">TY's models are CAMRY and COROLLA, which are Toyota vehicles, not Hyundai. Original label was a data-entry error.</t>
  </si>
  <si>
    <t xml:space="preserve">- Model spelling corrected</t>
  </si>
  <si>
    <t xml:space="preserve">CAMERO -&gt; CAMARO, COROLA -&gt; COROLLA, CAMERY -&gt; CAMRY.</t>
  </si>
  <si>
    <t xml:space="preserve">- Model code 'OOD' corrected to 'ODY'</t>
  </si>
  <si>
    <t xml:space="preserve">One Honda Odyssey record (orig. Car ID HO01OODY040) had an extra letter; corrected to match the other 4 Odyssey records and rebuilt its Car ID / New Car ID.</t>
  </si>
  <si>
    <t xml:space="preserve">- Manufacture Year converted from 2-digit to 4-digit</t>
  </si>
  <si>
    <t xml:space="preserve">Formula-driven (see B3/B4) rather than hardcoded, so it recalculates if the window rule changes.</t>
  </si>
  <si>
    <t xml:space="preserve">- Age and Miles/Year converted to live formulas</t>
  </si>
  <si>
    <t xml:space="preserve">Previously static values; now derived from Manufacture Year, Report Year, and Miles so the sheet recalculates if inputs change.</t>
  </si>
  <si>
    <t xml:space="preserve">- 'Covered?' status recomputed</t>
  </si>
  <si>
    <t xml:space="preserve">Original file marked EVERY vehicle 'COVERED' even when Miles far exceeded Warranty Miles. Recomputed as COVERED only when Miles &lt;= Warranty Miles; otherwise EXPIRED. This materially changes the warranty picture (see Dashboard).</t>
  </si>
  <si>
    <t xml:space="preserve">- Column 'Warantee Miles' renamed 'Warranty Miles'</t>
  </si>
  <si>
    <t xml:space="preserve">Spelling correction only; values unchanged.</t>
  </si>
  <si>
    <t xml:space="preserve">- UNRESOLVED ANOMALY: Chrysler model code 'CAR' -&gt; 'CAMRY'</t>
  </si>
  <si>
    <t xml:space="preserve">Chrysler has never produced a Camry (a Toyota nameplate). Original source data likely mislabeled; not enough information to confidently correct, so these 4 records are kept as-is but flagged. Treat 'Model (Full Name)' for these rows with caution.</t>
  </si>
  <si>
    <t xml:space="preserve">Fleet Inventory Dashboard</t>
  </si>
  <si>
    <t xml:space="preserve">As of Report Year (Assumptions!B3) — 52 active vehicles</t>
  </si>
  <si>
    <t xml:space="preserve">Total Vehicles</t>
  </si>
  <si>
    <t xml:space="preserve">Total Fleet Miles</t>
  </si>
  <si>
    <t xml:space="preserve">Avg Vehicle Age (Yrs)</t>
  </si>
  <si>
    <t xml:space="preserve">Avg Miles / Year</t>
  </si>
  <si>
    <t xml:space="preserve"># Expired Warranty</t>
  </si>
  <si>
    <t xml:space="preserve">% Expired Warranty</t>
  </si>
  <si>
    <t xml:space="preserve">Car ID</t>
  </si>
  <si>
    <t xml:space="preserve">Make</t>
  </si>
  <si>
    <t xml:space="preserve">Make (Full Name)</t>
  </si>
  <si>
    <t xml:space="preserve">Model</t>
  </si>
  <si>
    <t xml:space="preserve">Model (Full Name)</t>
  </si>
  <si>
    <t xml:space="preserve">Manufacture Year (2-digit)</t>
  </si>
  <si>
    <t xml:space="preserve">Manufacture Year</t>
  </si>
  <si>
    <t xml:space="preserve">Age (Years)</t>
  </si>
  <si>
    <t xml:space="preserve">Miles</t>
  </si>
  <si>
    <t xml:space="preserve">Miles / Year</t>
  </si>
  <si>
    <t xml:space="preserve">Color</t>
  </si>
  <si>
    <t xml:space="preserve">Driver</t>
  </si>
  <si>
    <t xml:space="preserve">Warranty Miles</t>
  </si>
  <si>
    <t xml:space="preserve">Warranty Status</t>
  </si>
  <si>
    <t xml:space="preserve">New Car ID</t>
  </si>
  <si>
    <t xml:space="preserve">FD06MTG001</t>
  </si>
  <si>
    <t xml:space="preserve">FD</t>
  </si>
  <si>
    <t xml:space="preserve">FORD</t>
  </si>
  <si>
    <t xml:space="preserve">MTG</t>
  </si>
  <si>
    <t xml:space="preserve">MUSTANG</t>
  </si>
  <si>
    <t xml:space="preserve">Black</t>
  </si>
  <si>
    <t xml:space="preserve">Smith</t>
  </si>
  <si>
    <t xml:space="preserve">FD06MTG002</t>
  </si>
  <si>
    <t xml:space="preserve">White</t>
  </si>
  <si>
    <t xml:space="preserve">McCall</t>
  </si>
  <si>
    <t xml:space="preserve">FD08MTG003</t>
  </si>
  <si>
    <t xml:space="preserve">Green</t>
  </si>
  <si>
    <t xml:space="preserve">Lyon</t>
  </si>
  <si>
    <t xml:space="preserve">FD08MTG004</t>
  </si>
  <si>
    <t xml:space="preserve">Jones</t>
  </si>
  <si>
    <t xml:space="preserve">FD08MTG005</t>
  </si>
  <si>
    <t xml:space="preserve">FD06FCS006</t>
  </si>
  <si>
    <t xml:space="preserve">FCS</t>
  </si>
  <si>
    <t xml:space="preserve">FOCUS</t>
  </si>
  <si>
    <t xml:space="preserve">Ewenty</t>
  </si>
  <si>
    <t xml:space="preserve">FD06FCS007</t>
  </si>
  <si>
    <t xml:space="preserve">FD09FCS008</t>
  </si>
  <si>
    <t xml:space="preserve">Howard</t>
  </si>
  <si>
    <t xml:space="preserve">FD13FCS009</t>
  </si>
  <si>
    <t xml:space="preserve">FD13FCS010</t>
  </si>
  <si>
    <t xml:space="preserve">Praulty</t>
  </si>
  <si>
    <t xml:space="preserve">FD12FCS011</t>
  </si>
  <si>
    <t xml:space="preserve">Yousef</t>
  </si>
  <si>
    <t xml:space="preserve">FD13FCS012</t>
  </si>
  <si>
    <t xml:space="preserve">Vizzini</t>
  </si>
  <si>
    <t xml:space="preserve">FD13FCS013</t>
  </si>
  <si>
    <t xml:space="preserve">Rodriguez</t>
  </si>
  <si>
    <t xml:space="preserve">GM09CMR014</t>
  </si>
  <si>
    <t xml:space="preserve">GM</t>
  </si>
  <si>
    <t xml:space="preserve">GENERAL MOTORS</t>
  </si>
  <si>
    <t xml:space="preserve">CMR</t>
  </si>
  <si>
    <t xml:space="preserve">CAMARO</t>
  </si>
  <si>
    <t xml:space="preserve">Santos</t>
  </si>
  <si>
    <t xml:space="preserve">GM12CMR015</t>
  </si>
  <si>
    <t xml:space="preserve">Bard</t>
  </si>
  <si>
    <t xml:space="preserve">GM14CMR016</t>
  </si>
  <si>
    <t xml:space="preserve">Torrens</t>
  </si>
  <si>
    <t xml:space="preserve">GM10SLV017</t>
  </si>
  <si>
    <t xml:space="preserve">SLV</t>
  </si>
  <si>
    <t xml:space="preserve">SILVERADO</t>
  </si>
  <si>
    <t xml:space="preserve">Hulinski</t>
  </si>
  <si>
    <t xml:space="preserve">GM98SLV018</t>
  </si>
  <si>
    <t xml:space="preserve">GM00SLV019</t>
  </si>
  <si>
    <t xml:space="preserve">Blue</t>
  </si>
  <si>
    <t xml:space="preserve">TY96CAM020</t>
  </si>
  <si>
    <t xml:space="preserve">TY</t>
  </si>
  <si>
    <t xml:space="preserve">TOYOTA</t>
  </si>
  <si>
    <t xml:space="preserve">CAM</t>
  </si>
  <si>
    <t xml:space="preserve">CAMRY</t>
  </si>
  <si>
    <t xml:space="preserve">Chan</t>
  </si>
  <si>
    <t xml:space="preserve">TY98CAM021</t>
  </si>
  <si>
    <t xml:space="preserve">Swartz</t>
  </si>
  <si>
    <t xml:space="preserve">TY00CAM022</t>
  </si>
  <si>
    <t xml:space="preserve">TY02CAM023</t>
  </si>
  <si>
    <t xml:space="preserve">TY09CAM024</t>
  </si>
  <si>
    <t xml:space="preserve">TY02COR025</t>
  </si>
  <si>
    <t xml:space="preserve">COR</t>
  </si>
  <si>
    <t xml:space="preserve">COROLLA</t>
  </si>
  <si>
    <t xml:space="preserve">Red</t>
  </si>
  <si>
    <t xml:space="preserve">Gaul</t>
  </si>
  <si>
    <t xml:space="preserve">TY03COR026</t>
  </si>
  <si>
    <t xml:space="preserve">TY14COR027</t>
  </si>
  <si>
    <t xml:space="preserve">TY12COR028</t>
  </si>
  <si>
    <t xml:space="preserve">TY12CAM029</t>
  </si>
  <si>
    <t xml:space="preserve">HO99CIV030</t>
  </si>
  <si>
    <t xml:space="preserve">HO</t>
  </si>
  <si>
    <t xml:space="preserve">HONDA</t>
  </si>
  <si>
    <t xml:space="preserve">CIV</t>
  </si>
  <si>
    <t xml:space="preserve">CIVIC</t>
  </si>
  <si>
    <t xml:space="preserve">HO01CIV031</t>
  </si>
  <si>
    <t xml:space="preserve">HO10CIV032</t>
  </si>
  <si>
    <t xml:space="preserve">HO10CIV033</t>
  </si>
  <si>
    <t xml:space="preserve">HO11CIV034</t>
  </si>
  <si>
    <t xml:space="preserve">HO12CIV035</t>
  </si>
  <si>
    <t xml:space="preserve">HO13CIV036</t>
  </si>
  <si>
    <t xml:space="preserve">HO05ODY037</t>
  </si>
  <si>
    <t xml:space="preserve">ODY</t>
  </si>
  <si>
    <t xml:space="preserve">ODYSSEY</t>
  </si>
  <si>
    <t xml:space="preserve">HO07ODY038</t>
  </si>
  <si>
    <t xml:space="preserve">HO08ODY039</t>
  </si>
  <si>
    <t xml:space="preserve">HO01ODY040</t>
  </si>
  <si>
    <t xml:space="preserve">HO14ODY041</t>
  </si>
  <si>
    <t xml:space="preserve">CR04PTC042</t>
  </si>
  <si>
    <t xml:space="preserve">CR</t>
  </si>
  <si>
    <t xml:space="preserve">CHRYSLER</t>
  </si>
  <si>
    <t xml:space="preserve">PTC</t>
  </si>
  <si>
    <t xml:space="preserve">PT CRUISER</t>
  </si>
  <si>
    <t xml:space="preserve">CR07PTC043</t>
  </si>
  <si>
    <t xml:space="preserve">CR11PTC044</t>
  </si>
  <si>
    <t xml:space="preserve">CR99CAR045</t>
  </si>
  <si>
    <t xml:space="preserve">CAR</t>
  </si>
  <si>
    <t xml:space="preserve">CR00CAR046</t>
  </si>
  <si>
    <t xml:space="preserve">CR04CAR047</t>
  </si>
  <si>
    <t xml:space="preserve">CR04CAR048</t>
  </si>
  <si>
    <t xml:space="preserve">HY11ELA049</t>
  </si>
  <si>
    <t xml:space="preserve">HY</t>
  </si>
  <si>
    <t xml:space="preserve">HYUNDAI</t>
  </si>
  <si>
    <t xml:space="preserve">ELA</t>
  </si>
  <si>
    <t xml:space="preserve">ELANTRA</t>
  </si>
  <si>
    <t xml:space="preserve">HY12ELA050</t>
  </si>
  <si>
    <t xml:space="preserve">HY13ELA051</t>
  </si>
  <si>
    <t xml:space="preserve">HY13ELA052</t>
  </si>
  <si>
    <t xml:space="preserve">Vehicle Count</t>
  </si>
  <si>
    <t xml:space="preserve">Total Miles</t>
  </si>
  <si>
    <t xml:space="preserve">Avg Miles</t>
  </si>
  <si>
    <t xml:space="preserve">Avg Age (Yrs)</t>
  </si>
  <si>
    <t xml:space="preserve"># Covered</t>
  </si>
  <si>
    <t xml:space="preserve"># Expired</t>
  </si>
  <si>
    <t xml:space="preserve">% Expired</t>
  </si>
  <si>
    <t xml:space="preserve">TOTAL / FLEET AVG</t>
  </si>
  <si>
    <t xml:space="preserve">Warranty Status - Fleet Wide</t>
  </si>
  <si>
    <t xml:space="preserve">Status</t>
  </si>
  <si>
    <t xml:space="preserve">Share of Fleet</t>
  </si>
  <si>
    <t xml:space="preserve">COVERED</t>
  </si>
  <si>
    <t xml:space="preserve">EXPIRED</t>
  </si>
  <si>
    <t xml:space="preserve">Fleet by Color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</si>
</sst>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%"/>
    <numFmt numFmtId="168" formatCode="General"/>
    <numFmt numFmtId="169" formatCode="#,##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D9D9D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Vehicle Count by Make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By Make'!B1</c:f>
              <c:strCache>
                <c:ptCount val="1"/>
                <c:pt idx="0">
                  <c:v>Vehicle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By Make'!$A$2:$A$7</c:f>
              <c:strCache>
                <c:ptCount val="6"/>
                <c:pt idx="0">
                  <c:v>CHRYSLER</c:v>
                </c:pt>
                <c:pt idx="1">
                  <c:v>FORD</c:v>
                </c:pt>
                <c:pt idx="2">
                  <c:v>GENERAL MOTORS</c:v>
                </c:pt>
                <c:pt idx="3">
                  <c:v>HONDA</c:v>
                </c:pt>
                <c:pt idx="4">
                  <c:v>HYUNDAI</c:v>
                </c:pt>
                <c:pt idx="5">
                  <c:v>TOYOTA</c:v>
                </c:pt>
              </c:strCache>
            </c:strRef>
          </c:cat>
          <c:val>
            <c:numRef>
              <c:f>'Pivot - By Make'!$B$2:$B$7</c:f>
              <c:numCache>
                <c:formatCode>General</c:formatCode>
                <c:ptCount val="6"/>
                <c:pt idx="0">
                  <c:v>7</c:v>
                </c:pt>
                <c:pt idx="1">
                  <c:v>13</c:v>
                </c:pt>
                <c:pt idx="2">
                  <c:v>6</c:v>
                </c:pt>
                <c:pt idx="3">
                  <c:v>12</c:v>
                </c:pt>
                <c:pt idx="4">
                  <c:v>4</c:v>
                </c:pt>
                <c:pt idx="5">
                  <c:v>10</c:v>
                </c:pt>
              </c:numCache>
            </c:numRef>
          </c:val>
        </c:ser>
        <c:gapWidth val="150"/>
        <c:overlap val="0"/>
        <c:axId val="53816693"/>
        <c:axId val="42709200"/>
      </c:barChart>
      <c:catAx>
        <c:axId val="538166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Make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09200"/>
        <c:crosses val="autoZero"/>
        <c:auto val="1"/>
        <c:lblAlgn val="ctr"/>
        <c:lblOffset val="100"/>
        <c:noMultiLvlLbl val="0"/>
      </c:catAx>
      <c:valAx>
        <c:axId val="42709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Vehicles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166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Warranty Status - Fleet Wide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'Pivot - Warranty &amp; Color'!B3</c:f>
              <c:strCache>
                <c:ptCount val="1"/>
                <c:pt idx="0">
                  <c:v>Vehicle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'Pivot - Warranty &amp; Color'!$A$4:$A$5</c:f>
              <c:strCache>
                <c:ptCount val="2"/>
                <c:pt idx="0">
                  <c:v>COVERED</c:v>
                </c:pt>
                <c:pt idx="1">
                  <c:v>EXPIRED</c:v>
                </c:pt>
              </c:strCache>
            </c:strRef>
          </c:cat>
          <c:val>
            <c:numRef>
              <c:f>'Pivot - Warranty &amp; Color'!$B$4:$B$5</c:f>
              <c:numCache>
                <c:formatCode>General</c:formatCode>
                <c:ptCount val="2"/>
                <c:pt idx="0">
                  <c:v>42</c:v>
                </c:pt>
                <c:pt idx="1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Miles / Year by Make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By Make'!F1</c:f>
              <c:strCache>
                <c:ptCount val="1"/>
                <c:pt idx="0">
                  <c:v>Avg Miles / Year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By Make'!$A$2:$A$7</c:f>
              <c:strCache>
                <c:ptCount val="6"/>
                <c:pt idx="0">
                  <c:v>CHRYSLER</c:v>
                </c:pt>
                <c:pt idx="1">
                  <c:v>FORD</c:v>
                </c:pt>
                <c:pt idx="2">
                  <c:v>GENERAL MOTORS</c:v>
                </c:pt>
                <c:pt idx="3">
                  <c:v>HONDA</c:v>
                </c:pt>
                <c:pt idx="4">
                  <c:v>HYUNDAI</c:v>
                </c:pt>
                <c:pt idx="5">
                  <c:v>TOYOTA</c:v>
                </c:pt>
              </c:strCache>
            </c:strRef>
          </c:cat>
          <c:val>
            <c:numRef>
              <c:f>'Pivot - By Make'!$F$2:$F$7</c:f>
              <c:numCache>
                <c:formatCode>#,##0</c:formatCode>
                <c:ptCount val="6"/>
                <c:pt idx="0">
                  <c:v>883.230847320321</c:v>
                </c:pt>
                <c:pt idx="1">
                  <c:v>4849.94801772386</c:v>
                </c:pt>
                <c:pt idx="2">
                  <c:v>3639.03375215471</c:v>
                </c:pt>
                <c:pt idx="3">
                  <c:v>2044.68612905394</c:v>
                </c:pt>
                <c:pt idx="4">
                  <c:v>1098.53837912088</c:v>
                </c:pt>
                <c:pt idx="5">
                  <c:v>1928.87011217363</c:v>
                </c:pt>
              </c:numCache>
            </c:numRef>
          </c:val>
        </c:ser>
        <c:gapWidth val="150"/>
        <c:overlap val="0"/>
        <c:axId val="43579637"/>
        <c:axId val="6894678"/>
      </c:barChart>
      <c:catAx>
        <c:axId val="43579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Make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4678"/>
        <c:crosses val="autoZero"/>
        <c:auto val="1"/>
        <c:lblAlgn val="ctr"/>
        <c:lblOffset val="100"/>
        <c:noMultiLvlLbl val="0"/>
      </c:catAx>
      <c:valAx>
        <c:axId val="68946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 per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79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Fleet by Color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'Pivot - Warranty &amp; Color'!B9</c:f>
              <c:strCache>
                <c:ptCount val="1"/>
                <c:pt idx="0">
                  <c:v>Vehicle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'Pivot - Warranty &amp; Color'!$A$10:$A$14</c:f>
              <c:strCache>
                <c:ptCount val="5"/>
                <c:pt idx="0">
                  <c:v>Black</c:v>
                </c:pt>
                <c:pt idx="1">
                  <c:v>Blue</c:v>
                </c:pt>
                <c:pt idx="2">
                  <c:v>Green</c:v>
                </c:pt>
                <c:pt idx="3">
                  <c:v>Red</c:v>
                </c:pt>
                <c:pt idx="4">
                  <c:v>White</c:v>
                </c:pt>
              </c:strCache>
            </c:strRef>
          </c:cat>
          <c:val>
            <c:numRef>
              <c:f>'Pivot - Warranty &amp; Color'!$B$10:$B$14</c:f>
              <c:numCache>
                <c:formatCode>General</c:formatCode>
                <c:ptCount val="5"/>
                <c:pt idx="0">
                  <c:v>24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Vehicles Past Warranty Mileage, by Make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By Make'!H1</c:f>
              <c:strCache>
                <c:ptCount val="1"/>
                <c:pt idx="0">
                  <c:v># Expired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By Make'!$A$2:$A$7</c:f>
              <c:strCache>
                <c:ptCount val="6"/>
                <c:pt idx="0">
                  <c:v>CHRYSLER</c:v>
                </c:pt>
                <c:pt idx="1">
                  <c:v>FORD</c:v>
                </c:pt>
                <c:pt idx="2">
                  <c:v>GENERAL MOTORS</c:v>
                </c:pt>
                <c:pt idx="3">
                  <c:v>HONDA</c:v>
                </c:pt>
                <c:pt idx="4">
                  <c:v>HYUNDAI</c:v>
                </c:pt>
                <c:pt idx="5">
                  <c:v>TOYOTA</c:v>
                </c:pt>
              </c:strCache>
            </c:strRef>
          </c:cat>
          <c:val>
            <c:numRef>
              <c:f>'Pivot - By Make'!$H$2:$H$7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79538845"/>
        <c:axId val="40264711"/>
      </c:barChart>
      <c:catAx>
        <c:axId val="795388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Make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64711"/>
        <c:crosses val="autoZero"/>
        <c:auto val="1"/>
        <c:lblAlgn val="ctr"/>
        <c:lblOffset val="100"/>
        <c:noMultiLvlLbl val="0"/>
      </c:catAx>
      <c:valAx>
        <c:axId val="40264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Expired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38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101160</xdr:rowOff>
    </xdr:from>
    <xdr:to>
      <xdr:col>5</xdr:col>
      <xdr:colOff>113400</xdr:colOff>
      <xdr:row>20</xdr:row>
      <xdr:rowOff>123120</xdr:rowOff>
    </xdr:to>
    <xdr:graphicFrame>
      <xdr:nvGraphicFramePr>
        <xdr:cNvPr id="0" name="Chart 1"/>
        <xdr:cNvGraphicFramePr/>
      </xdr:nvGraphicFramePr>
      <xdr:xfrm>
        <a:off x="0" y="14670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</xdr:row>
      <xdr:rowOff>101160</xdr:rowOff>
    </xdr:from>
    <xdr:to>
      <xdr:col>13</xdr:col>
      <xdr:colOff>61560</xdr:colOff>
      <xdr:row>20</xdr:row>
      <xdr:rowOff>123120</xdr:rowOff>
    </xdr:to>
    <xdr:graphicFrame>
      <xdr:nvGraphicFramePr>
        <xdr:cNvPr id="1" name="Chart 2"/>
        <xdr:cNvGraphicFramePr/>
      </xdr:nvGraphicFramePr>
      <xdr:xfrm>
        <a:off x="5286240" y="14670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100800</xdr:rowOff>
    </xdr:from>
    <xdr:to>
      <xdr:col>5</xdr:col>
      <xdr:colOff>113400</xdr:colOff>
      <xdr:row>36</xdr:row>
      <xdr:rowOff>123120</xdr:rowOff>
    </xdr:to>
    <xdr:graphicFrame>
      <xdr:nvGraphicFramePr>
        <xdr:cNvPr id="2" name="Chart 3"/>
        <xdr:cNvGraphicFramePr/>
      </xdr:nvGraphicFramePr>
      <xdr:xfrm>
        <a:off x="0" y="45147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21</xdr:row>
      <xdr:rowOff>100800</xdr:rowOff>
    </xdr:from>
    <xdr:to>
      <xdr:col>13</xdr:col>
      <xdr:colOff>61560</xdr:colOff>
      <xdr:row>36</xdr:row>
      <xdr:rowOff>123120</xdr:rowOff>
    </xdr:to>
    <xdr:graphicFrame>
      <xdr:nvGraphicFramePr>
        <xdr:cNvPr id="3" name="Chart 4"/>
        <xdr:cNvGraphicFramePr/>
      </xdr:nvGraphicFramePr>
      <xdr:xfrm>
        <a:off x="5286240" y="45147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101160</xdr:rowOff>
    </xdr:from>
    <xdr:to>
      <xdr:col>5</xdr:col>
      <xdr:colOff>113400</xdr:colOff>
      <xdr:row>52</xdr:row>
      <xdr:rowOff>123120</xdr:rowOff>
    </xdr:to>
    <xdr:graphicFrame>
      <xdr:nvGraphicFramePr>
        <xdr:cNvPr id="4" name="Chart 5"/>
        <xdr:cNvGraphicFramePr/>
      </xdr:nvGraphicFramePr>
      <xdr:xfrm>
        <a:off x="0" y="7562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Data" displayName="CleanedData" ref="A1:O53" headerRowCount="1" totalsRowCount="0" totalsRowShown="0">
  <autoFilter ref="A1:O53"/>
  <tableColumns count="15">
    <tableColumn id="1" name="Car ID"/>
    <tableColumn id="2" name="Make"/>
    <tableColumn id="3" name="Make (Full Name)"/>
    <tableColumn id="4" name="Model"/>
    <tableColumn id="5" name="Model (Full Name)"/>
    <tableColumn id="6" name="Manufacture Year (2-digit)"/>
    <tableColumn id="7" name="Manufacture Year"/>
    <tableColumn id="8" name="Age (Years)"/>
    <tableColumn id="9" name="Miles"/>
    <tableColumn id="10" name="Miles / Year"/>
    <tableColumn id="11" name="Color"/>
    <tableColumn id="12" name="Driver"/>
    <tableColumn id="13" name="Warranty Miles"/>
    <tableColumn id="14" name="Warranty Status"/>
    <tableColumn id="15" name="New Car 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2026</v>
      </c>
      <c r="C3" s="4" t="s">
        <v>2</v>
      </c>
    </row>
    <row r="4" customFormat="false" ht="15" hidden="false" customHeight="false" outlineLevel="0" collapsed="false">
      <c r="A4" s="2" t="s">
        <v>3</v>
      </c>
      <c r="B4" s="5" t="s">
        <v>4</v>
      </c>
      <c r="C4" s="4" t="s">
        <v>5</v>
      </c>
    </row>
    <row r="6" customFormat="false" ht="17.35" hidden="false" customHeight="false" outlineLevel="0" collapsed="false">
      <c r="A6" s="1" t="s">
        <v>6</v>
      </c>
    </row>
    <row r="8" customFormat="false" ht="15" hidden="false" customHeight="false" outlineLevel="0" collapsed="false">
      <c r="A8" s="6" t="s">
        <v>7</v>
      </c>
      <c r="B8" s="6"/>
      <c r="C8" s="6"/>
    </row>
    <row r="9" customFormat="false" ht="27.75" hidden="false" customHeight="true" outlineLevel="0" collapsed="false">
      <c r="A9" s="7" t="s">
        <v>8</v>
      </c>
      <c r="B9" s="7"/>
      <c r="C9" s="7"/>
    </row>
    <row r="11" customFormat="false" ht="15" hidden="false" customHeight="false" outlineLevel="0" collapsed="false">
      <c r="A11" s="6" t="s">
        <v>9</v>
      </c>
      <c r="B11" s="6"/>
      <c r="C11" s="6"/>
    </row>
    <row r="12" customFormat="false" ht="27.75" hidden="false" customHeight="true" outlineLevel="0" collapsed="false">
      <c r="A12" s="7" t="s">
        <v>10</v>
      </c>
      <c r="B12" s="7"/>
      <c r="C12" s="7"/>
    </row>
    <row r="14" customFormat="false" ht="15" hidden="false" customHeight="false" outlineLevel="0" collapsed="false">
      <c r="A14" s="6" t="s">
        <v>11</v>
      </c>
      <c r="B14" s="6"/>
      <c r="C14" s="6"/>
    </row>
    <row r="15" customFormat="false" ht="27.75" hidden="false" customHeight="true" outlineLevel="0" collapsed="false">
      <c r="A15" s="7" t="s">
        <v>12</v>
      </c>
      <c r="B15" s="7"/>
      <c r="C15" s="7"/>
    </row>
    <row r="17" customFormat="false" ht="15" hidden="false" customHeight="false" outlineLevel="0" collapsed="false">
      <c r="A17" s="6" t="s">
        <v>13</v>
      </c>
      <c r="B17" s="6"/>
      <c r="C17" s="6"/>
    </row>
    <row r="18" customFormat="false" ht="27.75" hidden="false" customHeight="true" outlineLevel="0" collapsed="false">
      <c r="A18" s="7" t="s">
        <v>14</v>
      </c>
      <c r="B18" s="7"/>
      <c r="C18" s="7"/>
    </row>
    <row r="20" customFormat="false" ht="15" hidden="false" customHeight="false" outlineLevel="0" collapsed="false">
      <c r="A20" s="6" t="s">
        <v>15</v>
      </c>
      <c r="B20" s="6"/>
      <c r="C20" s="6"/>
    </row>
    <row r="21" customFormat="false" ht="27.75" hidden="false" customHeight="true" outlineLevel="0" collapsed="false">
      <c r="A21" s="7" t="s">
        <v>16</v>
      </c>
      <c r="B21" s="7"/>
      <c r="C21" s="7"/>
    </row>
    <row r="23" customFormat="false" ht="15" hidden="false" customHeight="false" outlineLevel="0" collapsed="false">
      <c r="A23" s="6" t="s">
        <v>17</v>
      </c>
      <c r="B23" s="6"/>
      <c r="C23" s="6"/>
    </row>
    <row r="24" customFormat="false" ht="27.75" hidden="false" customHeight="true" outlineLevel="0" collapsed="false">
      <c r="A24" s="7" t="s">
        <v>18</v>
      </c>
      <c r="B24" s="7"/>
      <c r="C24" s="7"/>
    </row>
    <row r="26" customFormat="false" ht="15" hidden="false" customHeight="false" outlineLevel="0" collapsed="false">
      <c r="A26" s="6" t="s">
        <v>19</v>
      </c>
      <c r="B26" s="6"/>
      <c r="C26" s="6"/>
    </row>
    <row r="27" customFormat="false" ht="27.75" hidden="false" customHeight="true" outlineLevel="0" collapsed="false">
      <c r="A27" s="7" t="s">
        <v>20</v>
      </c>
      <c r="B27" s="7"/>
      <c r="C27" s="7"/>
    </row>
    <row r="29" customFormat="false" ht="15" hidden="false" customHeight="false" outlineLevel="0" collapsed="false">
      <c r="A29" s="6" t="s">
        <v>21</v>
      </c>
      <c r="B29" s="6"/>
      <c r="C29" s="6"/>
    </row>
    <row r="30" customFormat="false" ht="27.75" hidden="false" customHeight="true" outlineLevel="0" collapsed="false">
      <c r="A30" s="7" t="s">
        <v>22</v>
      </c>
      <c r="B30" s="7"/>
      <c r="C30" s="7"/>
    </row>
    <row r="32" customFormat="false" ht="15" hidden="false" customHeight="false" outlineLevel="0" collapsed="false">
      <c r="A32" s="6" t="s">
        <v>23</v>
      </c>
      <c r="B32" s="6"/>
      <c r="C32" s="6"/>
    </row>
    <row r="33" customFormat="false" ht="27.75" hidden="false" customHeight="true" outlineLevel="0" collapsed="false">
      <c r="A33" s="7" t="s">
        <v>24</v>
      </c>
      <c r="B33" s="7"/>
      <c r="C33" s="7"/>
    </row>
  </sheetData>
  <mergeCells count="18">
    <mergeCell ref="A8:C8"/>
    <mergeCell ref="A9:C9"/>
    <mergeCell ref="A11:C11"/>
    <mergeCell ref="A12:C12"/>
    <mergeCell ref="A14:C14"/>
    <mergeCell ref="A15:C15"/>
    <mergeCell ref="A17:C17"/>
    <mergeCell ref="A18:C18"/>
    <mergeCell ref="A20:C20"/>
    <mergeCell ref="A21:C21"/>
    <mergeCell ref="A23:C23"/>
    <mergeCell ref="A24:C24"/>
    <mergeCell ref="A26:C26"/>
    <mergeCell ref="A27:C27"/>
    <mergeCell ref="A29:C29"/>
    <mergeCell ref="A30:C30"/>
    <mergeCell ref="A32:C32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5"/>
  </cols>
  <sheetData>
    <row r="1" customFormat="false" ht="22.05" hidden="false" customHeight="false" outlineLevel="0" collapsed="false">
      <c r="A1" s="8" t="s">
        <v>25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26</v>
      </c>
      <c r="B2" s="9"/>
      <c r="C2" s="9"/>
      <c r="D2" s="9"/>
      <c r="E2" s="9"/>
      <c r="F2" s="9"/>
      <c r="G2" s="9"/>
      <c r="H2" s="9"/>
    </row>
    <row r="4" customFormat="false" ht="30" hidden="false" customHeight="true" outlineLevel="0" collapsed="false">
      <c r="A4" s="10" t="s">
        <v>27</v>
      </c>
      <c r="B4" s="10" t="s">
        <v>28</v>
      </c>
      <c r="C4" s="10" t="s">
        <v>29</v>
      </c>
      <c r="D4" s="10" t="s">
        <v>30</v>
      </c>
      <c r="E4" s="10" t="s">
        <v>31</v>
      </c>
      <c r="F4" s="10" t="s">
        <v>32</v>
      </c>
    </row>
    <row r="5" customFormat="false" ht="25.5" hidden="false" customHeight="true" outlineLevel="0" collapsed="false">
      <c r="A5" s="11" t="n">
        <f aca="false">'Pivot - By Make'!B8</f>
        <v>52</v>
      </c>
      <c r="B5" s="11" t="n">
        <f aca="false">'Pivot - By Make'!C8</f>
        <v>2335987.3</v>
      </c>
      <c r="C5" s="12" t="n">
        <f aca="false">'Pivot - By Make'!E8</f>
        <v>18.6730769230769</v>
      </c>
      <c r="D5" s="11" t="n">
        <f aca="false">'Pivot - By Make'!F8</f>
        <v>2678.56213195092</v>
      </c>
      <c r="E5" s="11" t="n">
        <f aca="false">'Pivot - By Make'!H8</f>
        <v>10</v>
      </c>
      <c r="F5" s="13" t="n">
        <f aca="false">'Pivot - By Make'!I8</f>
        <v>0.192307692307692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6"/>
  </cols>
  <sheetData>
    <row r="1" customFormat="false" ht="52.2" hidden="false" customHeight="false" outlineLevel="0" collapsed="false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39</v>
      </c>
      <c r="H1" s="14" t="s">
        <v>40</v>
      </c>
      <c r="I1" s="14" t="s">
        <v>41</v>
      </c>
      <c r="J1" s="14" t="s">
        <v>42</v>
      </c>
      <c r="K1" s="14" t="s">
        <v>43</v>
      </c>
      <c r="L1" s="14" t="s">
        <v>44</v>
      </c>
      <c r="M1" s="14" t="s">
        <v>45</v>
      </c>
      <c r="N1" s="14" t="s">
        <v>46</v>
      </c>
      <c r="O1" s="14" t="s">
        <v>47</v>
      </c>
    </row>
    <row r="2" customFormat="false" ht="15" hidden="false" customHeight="false" outlineLevel="0" collapsed="false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  <c r="F2" s="15" t="n">
        <v>6</v>
      </c>
      <c r="G2" s="16" t="n">
        <f aca="false">IF(F2&gt;=90,1900+F2,2000+F2)</f>
        <v>2006</v>
      </c>
      <c r="H2" s="16" t="n">
        <f aca="false">Assumptions!$B$3-G2</f>
        <v>20</v>
      </c>
      <c r="I2" s="17" t="n">
        <v>114660.6</v>
      </c>
      <c r="J2" s="18" t="n">
        <f aca="false">I2/H2</f>
        <v>5733.03</v>
      </c>
      <c r="K2" s="15" t="s">
        <v>53</v>
      </c>
      <c r="L2" s="15" t="s">
        <v>54</v>
      </c>
      <c r="M2" s="19" t="n">
        <v>50000</v>
      </c>
      <c r="N2" s="20" t="str">
        <f aca="false">IF(I2&lt;=M2,"COVERED","EXPIRED")</f>
        <v>EXPIRED</v>
      </c>
      <c r="O2" s="16" t="str">
        <f aca="false">B2&amp;TEXT(F2,"00")&amp;UPPER(LEFT(K2,3))&amp;D2&amp;RIGHT(A2,3)</f>
        <v>FD06BLAMTG001</v>
      </c>
    </row>
    <row r="3" customFormat="false" ht="15" hidden="false" customHeight="false" outlineLevel="0" collapsed="false">
      <c r="A3" s="15" t="s">
        <v>55</v>
      </c>
      <c r="B3" s="15" t="s">
        <v>49</v>
      </c>
      <c r="C3" s="15" t="s">
        <v>50</v>
      </c>
      <c r="D3" s="15" t="s">
        <v>51</v>
      </c>
      <c r="E3" s="15" t="s">
        <v>52</v>
      </c>
      <c r="F3" s="15" t="n">
        <v>6</v>
      </c>
      <c r="G3" s="16" t="n">
        <f aca="false">IF(F3&gt;=90,1900+F3,2000+F3)</f>
        <v>2006</v>
      </c>
      <c r="H3" s="16" t="n">
        <f aca="false">Assumptions!$B$3-G3</f>
        <v>20</v>
      </c>
      <c r="I3" s="17" t="n">
        <v>73444.4</v>
      </c>
      <c r="J3" s="18" t="n">
        <f aca="false">I3/H3</f>
        <v>3672.22</v>
      </c>
      <c r="K3" s="15" t="s">
        <v>56</v>
      </c>
      <c r="L3" s="15" t="s">
        <v>57</v>
      </c>
      <c r="M3" s="19" t="n">
        <v>50000</v>
      </c>
      <c r="N3" s="20" t="str">
        <f aca="false">IF(I3&lt;=M3,"COVERED","EXPIRED")</f>
        <v>EXPIRED</v>
      </c>
      <c r="O3" s="16" t="str">
        <f aca="false">B3&amp;TEXT(F3,"00")&amp;UPPER(LEFT(K3,3))&amp;D3&amp;RIGHT(A3,3)</f>
        <v>FD06WHIMTG002</v>
      </c>
    </row>
    <row r="4" customFormat="false" ht="15" hidden="false" customHeight="false" outlineLevel="0" collapsed="false">
      <c r="A4" s="15" t="s">
        <v>58</v>
      </c>
      <c r="B4" s="15" t="s">
        <v>49</v>
      </c>
      <c r="C4" s="15" t="s">
        <v>50</v>
      </c>
      <c r="D4" s="15" t="s">
        <v>51</v>
      </c>
      <c r="E4" s="15" t="s">
        <v>52</v>
      </c>
      <c r="F4" s="15" t="n">
        <v>8</v>
      </c>
      <c r="G4" s="16" t="n">
        <f aca="false">IF(F4&gt;=90,1900+F4,2000+F4)</f>
        <v>2008</v>
      </c>
      <c r="H4" s="16" t="n">
        <f aca="false">Assumptions!$B$3-G4</f>
        <v>18</v>
      </c>
      <c r="I4" s="17" t="n">
        <v>72527.2</v>
      </c>
      <c r="J4" s="18" t="n">
        <f aca="false">I4/H4</f>
        <v>4029.28888888889</v>
      </c>
      <c r="K4" s="15" t="s">
        <v>59</v>
      </c>
      <c r="L4" s="15" t="s">
        <v>60</v>
      </c>
      <c r="M4" s="19" t="n">
        <v>50000</v>
      </c>
      <c r="N4" s="20" t="str">
        <f aca="false">IF(I4&lt;=M4,"COVERED","EXPIRED")</f>
        <v>EXPIRED</v>
      </c>
      <c r="O4" s="16" t="str">
        <f aca="false">B4&amp;TEXT(F4,"00")&amp;UPPER(LEFT(K4,3))&amp;D4&amp;RIGHT(A4,3)</f>
        <v>FD08GREMTG003</v>
      </c>
    </row>
    <row r="5" customFormat="false" ht="15" hidden="false" customHeight="false" outlineLevel="0" collapsed="false">
      <c r="A5" s="15" t="s">
        <v>61</v>
      </c>
      <c r="B5" s="15" t="s">
        <v>49</v>
      </c>
      <c r="C5" s="15" t="s">
        <v>50</v>
      </c>
      <c r="D5" s="15" t="s">
        <v>51</v>
      </c>
      <c r="E5" s="15" t="s">
        <v>52</v>
      </c>
      <c r="F5" s="15" t="n">
        <v>8</v>
      </c>
      <c r="G5" s="16" t="n">
        <f aca="false">IF(F5&gt;=90,1900+F5,2000+F5)</f>
        <v>2008</v>
      </c>
      <c r="H5" s="16" t="n">
        <f aca="false">Assumptions!$B$3-G5</f>
        <v>18</v>
      </c>
      <c r="I5" s="17" t="n">
        <v>68658.9</v>
      </c>
      <c r="J5" s="18" t="n">
        <f aca="false">I5/H5</f>
        <v>3814.38333333333</v>
      </c>
      <c r="K5" s="15" t="s">
        <v>53</v>
      </c>
      <c r="L5" s="15" t="s">
        <v>62</v>
      </c>
      <c r="M5" s="19" t="n">
        <v>50000</v>
      </c>
      <c r="N5" s="20" t="str">
        <f aca="false">IF(I5&lt;=M5,"COVERED","EXPIRED")</f>
        <v>EXPIRED</v>
      </c>
      <c r="O5" s="16" t="str">
        <f aca="false">B5&amp;TEXT(F5,"00")&amp;UPPER(LEFT(K5,3))&amp;D5&amp;RIGHT(A5,3)</f>
        <v>FD08BLAMTG004</v>
      </c>
    </row>
    <row r="6" customFormat="false" ht="15" hidden="false" customHeight="false" outlineLevel="0" collapsed="false">
      <c r="A6" s="15" t="s">
        <v>63</v>
      </c>
      <c r="B6" s="15" t="s">
        <v>49</v>
      </c>
      <c r="C6" s="15" t="s">
        <v>50</v>
      </c>
      <c r="D6" s="15" t="s">
        <v>51</v>
      </c>
      <c r="E6" s="15" t="s">
        <v>52</v>
      </c>
      <c r="F6" s="15" t="n">
        <v>8</v>
      </c>
      <c r="G6" s="16" t="n">
        <f aca="false">IF(F6&gt;=90,1900+F6,2000+F6)</f>
        <v>2008</v>
      </c>
      <c r="H6" s="16" t="n">
        <f aca="false">Assumptions!$B$3-G6</f>
        <v>18</v>
      </c>
      <c r="I6" s="17" t="n">
        <v>67829.1</v>
      </c>
      <c r="J6" s="18" t="n">
        <f aca="false">I6/H6</f>
        <v>3768.28333333333</v>
      </c>
      <c r="K6" s="15" t="s">
        <v>56</v>
      </c>
      <c r="L6" s="15" t="s">
        <v>54</v>
      </c>
      <c r="M6" s="19" t="n">
        <v>50000</v>
      </c>
      <c r="N6" s="20" t="str">
        <f aca="false">IF(I6&lt;=M6,"COVERED","EXPIRED")</f>
        <v>EXPIRED</v>
      </c>
      <c r="O6" s="16" t="str">
        <f aca="false">B6&amp;TEXT(F6,"00")&amp;UPPER(LEFT(K6,3))&amp;D6&amp;RIGHT(A6,3)</f>
        <v>FD08WHIMTG005</v>
      </c>
    </row>
    <row r="7" customFormat="false" ht="15" hidden="false" customHeight="false" outlineLevel="0" collapsed="false">
      <c r="A7" s="15" t="s">
        <v>64</v>
      </c>
      <c r="B7" s="15" t="s">
        <v>49</v>
      </c>
      <c r="C7" s="15" t="s">
        <v>50</v>
      </c>
      <c r="D7" s="15" t="s">
        <v>65</v>
      </c>
      <c r="E7" s="15" t="s">
        <v>66</v>
      </c>
      <c r="F7" s="15" t="n">
        <v>6</v>
      </c>
      <c r="G7" s="16" t="n">
        <f aca="false">IF(F7&gt;=90,1900+F7,2000+F7)</f>
        <v>2006</v>
      </c>
      <c r="H7" s="16" t="n">
        <f aca="false">Assumptions!$B$3-G7</f>
        <v>20</v>
      </c>
      <c r="I7" s="17" t="n">
        <v>60389.5</v>
      </c>
      <c r="J7" s="18" t="n">
        <f aca="false">I7/H7</f>
        <v>3019.475</v>
      </c>
      <c r="K7" s="15" t="s">
        <v>59</v>
      </c>
      <c r="L7" s="15" t="s">
        <v>67</v>
      </c>
      <c r="M7" s="19" t="n">
        <v>75000</v>
      </c>
      <c r="N7" s="20" t="str">
        <f aca="false">IF(I7&lt;=M7,"COVERED","EXPIRED")</f>
        <v>COVERED</v>
      </c>
      <c r="O7" s="16" t="str">
        <f aca="false">B7&amp;TEXT(F7,"00")&amp;UPPER(LEFT(K7,3))&amp;D7&amp;RIGHT(A7,3)</f>
        <v>FD06GREFCS006</v>
      </c>
    </row>
    <row r="8" customFormat="false" ht="15" hidden="false" customHeight="false" outlineLevel="0" collapsed="false">
      <c r="A8" s="15" t="s">
        <v>68</v>
      </c>
      <c r="B8" s="15" t="s">
        <v>49</v>
      </c>
      <c r="C8" s="15" t="s">
        <v>50</v>
      </c>
      <c r="D8" s="15" t="s">
        <v>65</v>
      </c>
      <c r="E8" s="15" t="s">
        <v>66</v>
      </c>
      <c r="F8" s="15" t="n">
        <v>6</v>
      </c>
      <c r="G8" s="16" t="n">
        <f aca="false">IF(F8&gt;=90,1900+F8,2000+F8)</f>
        <v>2006</v>
      </c>
      <c r="H8" s="16" t="n">
        <f aca="false">Assumptions!$B$3-G8</f>
        <v>20</v>
      </c>
      <c r="I8" s="17" t="n">
        <v>69891.9</v>
      </c>
      <c r="J8" s="18" t="n">
        <f aca="false">I8/H8</f>
        <v>3494.595</v>
      </c>
      <c r="K8" s="15" t="s">
        <v>59</v>
      </c>
      <c r="L8" s="15" t="s">
        <v>60</v>
      </c>
      <c r="M8" s="19" t="n">
        <v>75000</v>
      </c>
      <c r="N8" s="20" t="str">
        <f aca="false">IF(I8&lt;=M8,"COVERED","EXPIRED")</f>
        <v>COVERED</v>
      </c>
      <c r="O8" s="16" t="str">
        <f aca="false">B8&amp;TEXT(F8,"00")&amp;UPPER(LEFT(K8,3))&amp;D8&amp;RIGHT(A8,3)</f>
        <v>FD06GREFCS007</v>
      </c>
    </row>
    <row r="9" customFormat="false" ht="15" hidden="false" customHeight="false" outlineLevel="0" collapsed="false">
      <c r="A9" s="15" t="s">
        <v>69</v>
      </c>
      <c r="B9" s="15" t="s">
        <v>49</v>
      </c>
      <c r="C9" s="15" t="s">
        <v>50</v>
      </c>
      <c r="D9" s="15" t="s">
        <v>65</v>
      </c>
      <c r="E9" s="15" t="s">
        <v>66</v>
      </c>
      <c r="F9" s="15" t="n">
        <v>9</v>
      </c>
      <c r="G9" s="16" t="n">
        <f aca="false">IF(F9&gt;=90,1900+F9,2000+F9)</f>
        <v>2009</v>
      </c>
      <c r="H9" s="16" t="n">
        <f aca="false">Assumptions!$B$3-G9</f>
        <v>17</v>
      </c>
      <c r="I9" s="17" t="n">
        <v>85928</v>
      </c>
      <c r="J9" s="18" t="n">
        <f aca="false">I9/H9</f>
        <v>5054.58823529412</v>
      </c>
      <c r="K9" s="15" t="s">
        <v>53</v>
      </c>
      <c r="L9" s="15" t="s">
        <v>70</v>
      </c>
      <c r="M9" s="19" t="n">
        <v>75000</v>
      </c>
      <c r="N9" s="20" t="str">
        <f aca="false">IF(I9&lt;=M9,"COVERED","EXPIRED")</f>
        <v>EXPIRED</v>
      </c>
      <c r="O9" s="16" t="str">
        <f aca="false">B9&amp;TEXT(F9,"00")&amp;UPPER(LEFT(K9,3))&amp;D9&amp;RIGHT(A9,3)</f>
        <v>FD09BLAFCS008</v>
      </c>
    </row>
    <row r="10" customFormat="false" ht="15" hidden="false" customHeight="false" outlineLevel="0" collapsed="false">
      <c r="A10" s="15" t="s">
        <v>71</v>
      </c>
      <c r="B10" s="15" t="s">
        <v>49</v>
      </c>
      <c r="C10" s="15" t="s">
        <v>50</v>
      </c>
      <c r="D10" s="15" t="s">
        <v>65</v>
      </c>
      <c r="E10" s="15" t="s">
        <v>66</v>
      </c>
      <c r="F10" s="15" t="n">
        <v>13</v>
      </c>
      <c r="G10" s="16" t="n">
        <f aca="false">IF(F10&gt;=90,1900+F10,2000+F10)</f>
        <v>2013</v>
      </c>
      <c r="H10" s="16" t="n">
        <f aca="false">Assumptions!$B$3-G10</f>
        <v>13</v>
      </c>
      <c r="I10" s="17" t="n">
        <v>93382.6</v>
      </c>
      <c r="J10" s="18" t="n">
        <f aca="false">I10/H10</f>
        <v>7183.27692307692</v>
      </c>
      <c r="K10" s="15" t="s">
        <v>53</v>
      </c>
      <c r="L10" s="15" t="s">
        <v>54</v>
      </c>
      <c r="M10" s="19" t="n">
        <v>75000</v>
      </c>
      <c r="N10" s="20" t="str">
        <f aca="false">IF(I10&lt;=M10,"COVERED","EXPIRED")</f>
        <v>EXPIRED</v>
      </c>
      <c r="O10" s="16" t="str">
        <f aca="false">B10&amp;TEXT(F10,"00")&amp;UPPER(LEFT(K10,3))&amp;D10&amp;RIGHT(A10,3)</f>
        <v>FD13BLAFCS009</v>
      </c>
    </row>
    <row r="11" customFormat="false" ht="15" hidden="false" customHeight="false" outlineLevel="0" collapsed="false">
      <c r="A11" s="15" t="s">
        <v>72</v>
      </c>
      <c r="B11" s="15" t="s">
        <v>49</v>
      </c>
      <c r="C11" s="15" t="s">
        <v>50</v>
      </c>
      <c r="D11" s="15" t="s">
        <v>65</v>
      </c>
      <c r="E11" s="15" t="s">
        <v>66</v>
      </c>
      <c r="F11" s="15" t="n">
        <v>13</v>
      </c>
      <c r="G11" s="16" t="n">
        <f aca="false">IF(F11&gt;=90,1900+F11,2000+F11)</f>
        <v>2013</v>
      </c>
      <c r="H11" s="16" t="n">
        <f aca="false">Assumptions!$B$3-G11</f>
        <v>13</v>
      </c>
      <c r="I11" s="17" t="n">
        <v>83162.7</v>
      </c>
      <c r="J11" s="18" t="n">
        <f aca="false">I11/H11</f>
        <v>6397.13076923077</v>
      </c>
      <c r="K11" s="15" t="s">
        <v>56</v>
      </c>
      <c r="L11" s="15" t="s">
        <v>73</v>
      </c>
      <c r="M11" s="19" t="n">
        <v>75000</v>
      </c>
      <c r="N11" s="20" t="str">
        <f aca="false">IF(I11&lt;=M11,"COVERED","EXPIRED")</f>
        <v>EXPIRED</v>
      </c>
      <c r="O11" s="16" t="str">
        <f aca="false">B11&amp;TEXT(F11,"00")&amp;UPPER(LEFT(K11,3))&amp;D11&amp;RIGHT(A11,3)</f>
        <v>FD13WHIFCS010</v>
      </c>
    </row>
    <row r="12" customFormat="false" ht="15" hidden="false" customHeight="false" outlineLevel="0" collapsed="false">
      <c r="A12" s="15" t="s">
        <v>74</v>
      </c>
      <c r="B12" s="15" t="s">
        <v>49</v>
      </c>
      <c r="C12" s="15" t="s">
        <v>50</v>
      </c>
      <c r="D12" s="15" t="s">
        <v>65</v>
      </c>
      <c r="E12" s="15" t="s">
        <v>66</v>
      </c>
      <c r="F12" s="15" t="n">
        <v>12</v>
      </c>
      <c r="G12" s="16" t="n">
        <f aca="false">IF(F12&gt;=90,1900+F12,2000+F12)</f>
        <v>2012</v>
      </c>
      <c r="H12" s="16" t="n">
        <f aca="false">Assumptions!$B$3-G12</f>
        <v>14</v>
      </c>
      <c r="I12" s="17" t="n">
        <v>64467.4</v>
      </c>
      <c r="J12" s="18" t="n">
        <f aca="false">I12/H12</f>
        <v>4604.81428571429</v>
      </c>
      <c r="K12" s="15" t="s">
        <v>56</v>
      </c>
      <c r="L12" s="15" t="s">
        <v>75</v>
      </c>
      <c r="M12" s="19" t="n">
        <v>75000</v>
      </c>
      <c r="N12" s="20" t="str">
        <f aca="false">IF(I12&lt;=M12,"COVERED","EXPIRED")</f>
        <v>COVERED</v>
      </c>
      <c r="O12" s="16" t="str">
        <f aca="false">B12&amp;TEXT(F12,"00")&amp;UPPER(LEFT(K12,3))&amp;D12&amp;RIGHT(A12,3)</f>
        <v>FD12WHIFCS011</v>
      </c>
    </row>
    <row r="13" customFormat="false" ht="15" hidden="false" customHeight="false" outlineLevel="0" collapsed="false">
      <c r="A13" s="15" t="s">
        <v>76</v>
      </c>
      <c r="B13" s="15" t="s">
        <v>49</v>
      </c>
      <c r="C13" s="15" t="s">
        <v>50</v>
      </c>
      <c r="D13" s="15" t="s">
        <v>65</v>
      </c>
      <c r="E13" s="15" t="s">
        <v>66</v>
      </c>
      <c r="F13" s="15" t="n">
        <v>13</v>
      </c>
      <c r="G13" s="16" t="n">
        <f aca="false">IF(F13&gt;=90,1900+F13,2000+F13)</f>
        <v>2013</v>
      </c>
      <c r="H13" s="16" t="n">
        <f aca="false">Assumptions!$B$3-G13</f>
        <v>13</v>
      </c>
      <c r="I13" s="17" t="n">
        <v>82374</v>
      </c>
      <c r="J13" s="18" t="n">
        <f aca="false">I13/H13</f>
        <v>6336.46153846154</v>
      </c>
      <c r="K13" s="15" t="s">
        <v>53</v>
      </c>
      <c r="L13" s="15" t="s">
        <v>77</v>
      </c>
      <c r="M13" s="19" t="n">
        <v>75000</v>
      </c>
      <c r="N13" s="20" t="str">
        <f aca="false">IF(I13&lt;=M13,"COVERED","EXPIRED")</f>
        <v>EXPIRED</v>
      </c>
      <c r="O13" s="16" t="str">
        <f aca="false">B13&amp;TEXT(F13,"00")&amp;UPPER(LEFT(K13,3))&amp;D13&amp;RIGHT(A13,3)</f>
        <v>FD13BLAFCS012</v>
      </c>
    </row>
    <row r="14" customFormat="false" ht="15" hidden="false" customHeight="false" outlineLevel="0" collapsed="false">
      <c r="A14" s="15" t="s">
        <v>78</v>
      </c>
      <c r="B14" s="15" t="s">
        <v>49</v>
      </c>
      <c r="C14" s="15" t="s">
        <v>50</v>
      </c>
      <c r="D14" s="15" t="s">
        <v>65</v>
      </c>
      <c r="E14" s="15" t="s">
        <v>66</v>
      </c>
      <c r="F14" s="15" t="n">
        <v>13</v>
      </c>
      <c r="G14" s="16" t="n">
        <f aca="false">IF(F14&gt;=90,1900+F14,2000+F14)</f>
        <v>2013</v>
      </c>
      <c r="H14" s="16" t="n">
        <f aca="false">Assumptions!$B$3-G14</f>
        <v>13</v>
      </c>
      <c r="I14" s="17" t="n">
        <v>77243.1</v>
      </c>
      <c r="J14" s="18" t="n">
        <f aca="false">I14/H14</f>
        <v>5941.77692307692</v>
      </c>
      <c r="K14" s="15" t="s">
        <v>53</v>
      </c>
      <c r="L14" s="15" t="s">
        <v>79</v>
      </c>
      <c r="M14" s="19" t="n">
        <v>75000</v>
      </c>
      <c r="N14" s="20" t="str">
        <f aca="false">IF(I14&lt;=M14,"COVERED","EXPIRED")</f>
        <v>EXPIRED</v>
      </c>
      <c r="O14" s="16" t="str">
        <f aca="false">B14&amp;TEXT(F14,"00")&amp;UPPER(LEFT(K14,3))&amp;D14&amp;RIGHT(A14,3)</f>
        <v>FD13BLAFCS013</v>
      </c>
    </row>
    <row r="15" customFormat="false" ht="15" hidden="false" customHeight="false" outlineLevel="0" collapsed="false">
      <c r="A15" s="15" t="s">
        <v>80</v>
      </c>
      <c r="B15" s="15" t="s">
        <v>81</v>
      </c>
      <c r="C15" s="15" t="s">
        <v>82</v>
      </c>
      <c r="D15" s="15" t="s">
        <v>83</v>
      </c>
      <c r="E15" s="15" t="s">
        <v>84</v>
      </c>
      <c r="F15" s="15" t="n">
        <v>9</v>
      </c>
      <c r="G15" s="16" t="n">
        <f aca="false">IF(F15&gt;=90,1900+F15,2000+F15)</f>
        <v>2009</v>
      </c>
      <c r="H15" s="16" t="n">
        <f aca="false">Assumptions!$B$3-G15</f>
        <v>17</v>
      </c>
      <c r="I15" s="17" t="n">
        <v>80685.8</v>
      </c>
      <c r="J15" s="18" t="n">
        <f aca="false">I15/H15</f>
        <v>4746.22352941176</v>
      </c>
      <c r="K15" s="15" t="s">
        <v>56</v>
      </c>
      <c r="L15" s="15" t="s">
        <v>85</v>
      </c>
      <c r="M15" s="19" t="n">
        <v>100000</v>
      </c>
      <c r="N15" s="20" t="str">
        <f aca="false">IF(I15&lt;=M15,"COVERED","EXPIRED")</f>
        <v>COVERED</v>
      </c>
      <c r="O15" s="16" t="str">
        <f aca="false">B15&amp;TEXT(F15,"00")&amp;UPPER(LEFT(K15,3))&amp;D15&amp;RIGHT(A15,3)</f>
        <v>GM09WHICMR014</v>
      </c>
    </row>
    <row r="16" customFormat="false" ht="15" hidden="false" customHeight="false" outlineLevel="0" collapsed="false">
      <c r="A16" s="15" t="s">
        <v>86</v>
      </c>
      <c r="B16" s="15" t="s">
        <v>81</v>
      </c>
      <c r="C16" s="15" t="s">
        <v>82</v>
      </c>
      <c r="D16" s="15" t="s">
        <v>83</v>
      </c>
      <c r="E16" s="15" t="s">
        <v>84</v>
      </c>
      <c r="F16" s="15" t="n">
        <v>12</v>
      </c>
      <c r="G16" s="16" t="n">
        <f aca="false">IF(F16&gt;=90,1900+F16,2000+F16)</f>
        <v>2012</v>
      </c>
      <c r="H16" s="16" t="n">
        <f aca="false">Assumptions!$B$3-G16</f>
        <v>14</v>
      </c>
      <c r="I16" s="17" t="n">
        <v>79420.6</v>
      </c>
      <c r="J16" s="18" t="n">
        <f aca="false">I16/H16</f>
        <v>5672.9</v>
      </c>
      <c r="K16" s="15" t="s">
        <v>53</v>
      </c>
      <c r="L16" s="15" t="s">
        <v>87</v>
      </c>
      <c r="M16" s="19" t="n">
        <v>100000</v>
      </c>
      <c r="N16" s="20" t="str">
        <f aca="false">IF(I16&lt;=M16,"COVERED","EXPIRED")</f>
        <v>COVERED</v>
      </c>
      <c r="O16" s="16" t="str">
        <f aca="false">B16&amp;TEXT(F16,"00")&amp;UPPER(LEFT(K16,3))&amp;D16&amp;RIGHT(A16,3)</f>
        <v>GM12BLACMR015</v>
      </c>
    </row>
    <row r="17" customFormat="false" ht="15" hidden="false" customHeight="false" outlineLevel="0" collapsed="false">
      <c r="A17" s="15" t="s">
        <v>88</v>
      </c>
      <c r="B17" s="15" t="s">
        <v>81</v>
      </c>
      <c r="C17" s="15" t="s">
        <v>82</v>
      </c>
      <c r="D17" s="15" t="s">
        <v>83</v>
      </c>
      <c r="E17" s="15" t="s">
        <v>84</v>
      </c>
      <c r="F17" s="15" t="n">
        <v>14</v>
      </c>
      <c r="G17" s="16" t="n">
        <f aca="false">IF(F17&gt;=90,1900+F17,2000+F17)</f>
        <v>2014</v>
      </c>
      <c r="H17" s="16" t="n">
        <f aca="false">Assumptions!$B$3-G17</f>
        <v>12</v>
      </c>
      <c r="I17" s="17" t="n">
        <v>64542</v>
      </c>
      <c r="J17" s="18" t="n">
        <f aca="false">I17/H17</f>
        <v>5378.5</v>
      </c>
      <c r="K17" s="15" t="s">
        <v>56</v>
      </c>
      <c r="L17" s="15" t="s">
        <v>89</v>
      </c>
      <c r="M17" s="19" t="n">
        <v>100000</v>
      </c>
      <c r="N17" s="20" t="str">
        <f aca="false">IF(I17&lt;=M17,"COVERED","EXPIRED")</f>
        <v>COVERED</v>
      </c>
      <c r="O17" s="16" t="str">
        <f aca="false">B17&amp;TEXT(F17,"00")&amp;UPPER(LEFT(K17,3))&amp;D17&amp;RIGHT(A17,3)</f>
        <v>GM14WHICMR016</v>
      </c>
    </row>
    <row r="18" customFormat="false" ht="15" hidden="false" customHeight="false" outlineLevel="0" collapsed="false">
      <c r="A18" s="15" t="s">
        <v>90</v>
      </c>
      <c r="B18" s="15" t="s">
        <v>81</v>
      </c>
      <c r="C18" s="15" t="s">
        <v>82</v>
      </c>
      <c r="D18" s="15" t="s">
        <v>91</v>
      </c>
      <c r="E18" s="15" t="s">
        <v>92</v>
      </c>
      <c r="F18" s="15" t="n">
        <v>10</v>
      </c>
      <c r="G18" s="16" t="n">
        <f aca="false">IF(F18&gt;=90,1900+F18,2000+F18)</f>
        <v>2010</v>
      </c>
      <c r="H18" s="16" t="n">
        <f aca="false">Assumptions!$B$3-G18</f>
        <v>16</v>
      </c>
      <c r="I18" s="17" t="n">
        <v>52699.4</v>
      </c>
      <c r="J18" s="18" t="n">
        <f aca="false">I18/H18</f>
        <v>3293.7125</v>
      </c>
      <c r="K18" s="15" t="s">
        <v>53</v>
      </c>
      <c r="L18" s="15" t="s">
        <v>93</v>
      </c>
      <c r="M18" s="19" t="n">
        <v>100000</v>
      </c>
      <c r="N18" s="20" t="str">
        <f aca="false">IF(I18&lt;=M18,"COVERED","EXPIRED")</f>
        <v>COVERED</v>
      </c>
      <c r="O18" s="16" t="str">
        <f aca="false">B18&amp;TEXT(F18,"00")&amp;UPPER(LEFT(K18,3))&amp;D18&amp;RIGHT(A18,3)</f>
        <v>GM10BLASLV017</v>
      </c>
    </row>
    <row r="19" customFormat="false" ht="15" hidden="false" customHeight="false" outlineLevel="0" collapsed="false">
      <c r="A19" s="15" t="s">
        <v>94</v>
      </c>
      <c r="B19" s="15" t="s">
        <v>81</v>
      </c>
      <c r="C19" s="15" t="s">
        <v>82</v>
      </c>
      <c r="D19" s="15" t="s">
        <v>91</v>
      </c>
      <c r="E19" s="15" t="s">
        <v>92</v>
      </c>
      <c r="F19" s="15" t="n">
        <v>98</v>
      </c>
      <c r="G19" s="16" t="n">
        <f aca="false">IF(F19&gt;=90,1900+F19,2000+F19)</f>
        <v>1998</v>
      </c>
      <c r="H19" s="16" t="n">
        <f aca="false">Assumptions!$B$3-G19</f>
        <v>28</v>
      </c>
      <c r="I19" s="17" t="n">
        <v>37558.8</v>
      </c>
      <c r="J19" s="18" t="n">
        <f aca="false">I19/H19</f>
        <v>1341.38571428571</v>
      </c>
      <c r="K19" s="15" t="s">
        <v>53</v>
      </c>
      <c r="L19" s="15" t="s">
        <v>85</v>
      </c>
      <c r="M19" s="19" t="n">
        <v>100000</v>
      </c>
      <c r="N19" s="20" t="str">
        <f aca="false">IF(I19&lt;=M19,"COVERED","EXPIRED")</f>
        <v>COVERED</v>
      </c>
      <c r="O19" s="16" t="str">
        <f aca="false">B19&amp;TEXT(F19,"00")&amp;UPPER(LEFT(K19,3))&amp;D19&amp;RIGHT(A19,3)</f>
        <v>GM98BLASLV018</v>
      </c>
    </row>
    <row r="20" customFormat="false" ht="15" hidden="false" customHeight="false" outlineLevel="0" collapsed="false">
      <c r="A20" s="15" t="s">
        <v>95</v>
      </c>
      <c r="B20" s="15" t="s">
        <v>81</v>
      </c>
      <c r="C20" s="15" t="s">
        <v>82</v>
      </c>
      <c r="D20" s="15" t="s">
        <v>91</v>
      </c>
      <c r="E20" s="15" t="s">
        <v>92</v>
      </c>
      <c r="F20" s="15" t="n">
        <v>0</v>
      </c>
      <c r="G20" s="16" t="n">
        <f aca="false">IF(F20&gt;=90,1900+F20,2000+F20)</f>
        <v>2000</v>
      </c>
      <c r="H20" s="16" t="n">
        <f aca="false">Assumptions!$B$3-G20</f>
        <v>26</v>
      </c>
      <c r="I20" s="17" t="n">
        <v>36438.5</v>
      </c>
      <c r="J20" s="18" t="n">
        <f aca="false">I20/H20</f>
        <v>1401.48076923077</v>
      </c>
      <c r="K20" s="15" t="s">
        <v>96</v>
      </c>
      <c r="L20" s="15" t="s">
        <v>77</v>
      </c>
      <c r="M20" s="19" t="n">
        <v>100000</v>
      </c>
      <c r="N20" s="20" t="str">
        <f aca="false">IF(I20&lt;=M20,"COVERED","EXPIRED")</f>
        <v>COVERED</v>
      </c>
      <c r="O20" s="16" t="str">
        <f aca="false">B20&amp;TEXT(F20,"00")&amp;UPPER(LEFT(K20,3))&amp;D20&amp;RIGHT(A20,3)</f>
        <v>GM00BLUSLV019</v>
      </c>
    </row>
    <row r="21" customFormat="false" ht="15" hidden="false" customHeight="false" outlineLevel="0" collapsed="false">
      <c r="A21" s="15" t="s">
        <v>97</v>
      </c>
      <c r="B21" s="15" t="s">
        <v>98</v>
      </c>
      <c r="C21" s="15" t="s">
        <v>99</v>
      </c>
      <c r="D21" s="15" t="s">
        <v>100</v>
      </c>
      <c r="E21" s="15" t="s">
        <v>101</v>
      </c>
      <c r="F21" s="15" t="n">
        <v>96</v>
      </c>
      <c r="G21" s="16" t="n">
        <f aca="false">IF(F21&gt;=90,1900+F21,2000+F21)</f>
        <v>1996</v>
      </c>
      <c r="H21" s="16" t="n">
        <f aca="false">Assumptions!$B$3-G21</f>
        <v>30</v>
      </c>
      <c r="I21" s="17" t="n">
        <v>35137</v>
      </c>
      <c r="J21" s="18" t="n">
        <f aca="false">I21/H21</f>
        <v>1171.23333333333</v>
      </c>
      <c r="K21" s="15" t="s">
        <v>59</v>
      </c>
      <c r="L21" s="15" t="s">
        <v>102</v>
      </c>
      <c r="M21" s="19" t="n">
        <v>100000</v>
      </c>
      <c r="N21" s="20" t="str">
        <f aca="false">IF(I21&lt;=M21,"COVERED","EXPIRED")</f>
        <v>COVERED</v>
      </c>
      <c r="O21" s="16" t="str">
        <f aca="false">B21&amp;TEXT(F21,"00")&amp;UPPER(LEFT(K21,3))&amp;D21&amp;RIGHT(A21,3)</f>
        <v>TY96GRECAM020</v>
      </c>
    </row>
    <row r="22" customFormat="false" ht="15" hidden="false" customHeight="false" outlineLevel="0" collapsed="false">
      <c r="A22" s="15" t="s">
        <v>103</v>
      </c>
      <c r="B22" s="15" t="s">
        <v>98</v>
      </c>
      <c r="C22" s="15" t="s">
        <v>99</v>
      </c>
      <c r="D22" s="15" t="s">
        <v>100</v>
      </c>
      <c r="E22" s="15" t="s">
        <v>101</v>
      </c>
      <c r="F22" s="15" t="n">
        <v>98</v>
      </c>
      <c r="G22" s="16" t="n">
        <f aca="false">IF(F22&gt;=90,1900+F22,2000+F22)</f>
        <v>1998</v>
      </c>
      <c r="H22" s="16" t="n">
        <f aca="false">Assumptions!$B$3-G22</f>
        <v>28</v>
      </c>
      <c r="I22" s="17" t="n">
        <v>42504.6</v>
      </c>
      <c r="J22" s="18" t="n">
        <f aca="false">I22/H22</f>
        <v>1518.02142857143</v>
      </c>
      <c r="K22" s="15" t="s">
        <v>53</v>
      </c>
      <c r="L22" s="15" t="s">
        <v>104</v>
      </c>
      <c r="M22" s="19" t="n">
        <v>100000</v>
      </c>
      <c r="N22" s="20" t="str">
        <f aca="false">IF(I22&lt;=M22,"COVERED","EXPIRED")</f>
        <v>COVERED</v>
      </c>
      <c r="O22" s="16" t="str">
        <f aca="false">B22&amp;TEXT(F22,"00")&amp;UPPER(LEFT(K22,3))&amp;D22&amp;RIGHT(A22,3)</f>
        <v>TY98BLACAM021</v>
      </c>
    </row>
    <row r="23" customFormat="false" ht="15" hidden="false" customHeight="false" outlineLevel="0" collapsed="false">
      <c r="A23" s="15" t="s">
        <v>105</v>
      </c>
      <c r="B23" s="15" t="s">
        <v>98</v>
      </c>
      <c r="C23" s="15" t="s">
        <v>99</v>
      </c>
      <c r="D23" s="15" t="s">
        <v>100</v>
      </c>
      <c r="E23" s="15" t="s">
        <v>101</v>
      </c>
      <c r="F23" s="15" t="n">
        <v>0</v>
      </c>
      <c r="G23" s="16" t="n">
        <f aca="false">IF(F23&gt;=90,1900+F23,2000+F23)</f>
        <v>2000</v>
      </c>
      <c r="H23" s="16" t="n">
        <f aca="false">Assumptions!$B$3-G23</f>
        <v>26</v>
      </c>
      <c r="I23" s="17" t="n">
        <v>27637.1</v>
      </c>
      <c r="J23" s="18" t="n">
        <f aca="false">I23/H23</f>
        <v>1062.96538461538</v>
      </c>
      <c r="K23" s="15" t="s">
        <v>59</v>
      </c>
      <c r="L23" s="15" t="s">
        <v>67</v>
      </c>
      <c r="M23" s="19" t="n">
        <v>100000</v>
      </c>
      <c r="N23" s="20" t="str">
        <f aca="false">IF(I23&lt;=M23,"COVERED","EXPIRED")</f>
        <v>COVERED</v>
      </c>
      <c r="O23" s="16" t="str">
        <f aca="false">B23&amp;TEXT(F23,"00")&amp;UPPER(LEFT(K23,3))&amp;D23&amp;RIGHT(A23,3)</f>
        <v>TY00GRECAM022</v>
      </c>
    </row>
    <row r="24" customFormat="false" ht="15" hidden="false" customHeight="false" outlineLevel="0" collapsed="false">
      <c r="A24" s="15" t="s">
        <v>106</v>
      </c>
      <c r="B24" s="15" t="s">
        <v>98</v>
      </c>
      <c r="C24" s="15" t="s">
        <v>99</v>
      </c>
      <c r="D24" s="15" t="s">
        <v>100</v>
      </c>
      <c r="E24" s="15" t="s">
        <v>101</v>
      </c>
      <c r="F24" s="15" t="n">
        <v>2</v>
      </c>
      <c r="G24" s="16" t="n">
        <f aca="false">IF(F24&gt;=90,1900+F24,2000+F24)</f>
        <v>2002</v>
      </c>
      <c r="H24" s="16" t="n">
        <f aca="false">Assumptions!$B$3-G24</f>
        <v>24</v>
      </c>
      <c r="I24" s="17" t="n">
        <v>28464.8</v>
      </c>
      <c r="J24" s="18" t="n">
        <f aca="false">I24/H24</f>
        <v>1186.03333333333</v>
      </c>
      <c r="K24" s="15" t="s">
        <v>53</v>
      </c>
      <c r="L24" s="15" t="s">
        <v>54</v>
      </c>
      <c r="M24" s="19" t="n">
        <v>100000</v>
      </c>
      <c r="N24" s="20" t="str">
        <f aca="false">IF(I24&lt;=M24,"COVERED","EXPIRED")</f>
        <v>COVERED</v>
      </c>
      <c r="O24" s="16" t="str">
        <f aca="false">B24&amp;TEXT(F24,"00")&amp;UPPER(LEFT(K24,3))&amp;D24&amp;RIGHT(A24,3)</f>
        <v>TY02BLACAM023</v>
      </c>
    </row>
    <row r="25" customFormat="false" ht="15" hidden="false" customHeight="false" outlineLevel="0" collapsed="false">
      <c r="A25" s="15" t="s">
        <v>107</v>
      </c>
      <c r="B25" s="15" t="s">
        <v>98</v>
      </c>
      <c r="C25" s="15" t="s">
        <v>99</v>
      </c>
      <c r="D25" s="15" t="s">
        <v>100</v>
      </c>
      <c r="E25" s="15" t="s">
        <v>101</v>
      </c>
      <c r="F25" s="15" t="n">
        <v>9</v>
      </c>
      <c r="G25" s="16" t="n">
        <f aca="false">IF(F25&gt;=90,1900+F25,2000+F25)</f>
        <v>2009</v>
      </c>
      <c r="H25" s="16" t="n">
        <f aca="false">Assumptions!$B$3-G25</f>
        <v>17</v>
      </c>
      <c r="I25" s="17" t="n">
        <v>50854.1</v>
      </c>
      <c r="J25" s="18" t="n">
        <f aca="false">I25/H25</f>
        <v>2991.41764705882</v>
      </c>
      <c r="K25" s="15" t="s">
        <v>56</v>
      </c>
      <c r="L25" s="15" t="s">
        <v>70</v>
      </c>
      <c r="M25" s="19" t="n">
        <v>100000</v>
      </c>
      <c r="N25" s="20" t="str">
        <f aca="false">IF(I25&lt;=M25,"COVERED","EXPIRED")</f>
        <v>COVERED</v>
      </c>
      <c r="O25" s="16" t="str">
        <f aca="false">B25&amp;TEXT(F25,"00")&amp;UPPER(LEFT(K25,3))&amp;D25&amp;RIGHT(A25,3)</f>
        <v>TY09WHICAM024</v>
      </c>
    </row>
    <row r="26" customFormat="false" ht="15" hidden="false" customHeight="false" outlineLevel="0" collapsed="false">
      <c r="A26" s="15" t="s">
        <v>108</v>
      </c>
      <c r="B26" s="15" t="s">
        <v>98</v>
      </c>
      <c r="C26" s="15" t="s">
        <v>99</v>
      </c>
      <c r="D26" s="15" t="s">
        <v>109</v>
      </c>
      <c r="E26" s="15" t="s">
        <v>110</v>
      </c>
      <c r="F26" s="15" t="n">
        <v>2</v>
      </c>
      <c r="G26" s="16" t="n">
        <f aca="false">IF(F26&gt;=90,1900+F26,2000+F26)</f>
        <v>2002</v>
      </c>
      <c r="H26" s="16" t="n">
        <f aca="false">Assumptions!$B$3-G26</f>
        <v>24</v>
      </c>
      <c r="I26" s="17" t="n">
        <v>29102.3</v>
      </c>
      <c r="J26" s="18" t="n">
        <f aca="false">I26/H26</f>
        <v>1212.59583333333</v>
      </c>
      <c r="K26" s="15" t="s">
        <v>111</v>
      </c>
      <c r="L26" s="15" t="s">
        <v>112</v>
      </c>
      <c r="M26" s="19" t="n">
        <v>100000</v>
      </c>
      <c r="N26" s="20" t="str">
        <f aca="false">IF(I26&lt;=M26,"COVERED","EXPIRED")</f>
        <v>COVERED</v>
      </c>
      <c r="O26" s="16" t="str">
        <f aca="false">B26&amp;TEXT(F26,"00")&amp;UPPER(LEFT(K26,3))&amp;D26&amp;RIGHT(A26,3)</f>
        <v>TY02REDCOR025</v>
      </c>
    </row>
    <row r="27" customFormat="false" ht="15" hidden="false" customHeight="false" outlineLevel="0" collapsed="false">
      <c r="A27" s="15" t="s">
        <v>113</v>
      </c>
      <c r="B27" s="15" t="s">
        <v>98</v>
      </c>
      <c r="C27" s="15" t="s">
        <v>99</v>
      </c>
      <c r="D27" s="15" t="s">
        <v>109</v>
      </c>
      <c r="E27" s="15" t="s">
        <v>110</v>
      </c>
      <c r="F27" s="15" t="n">
        <v>3</v>
      </c>
      <c r="G27" s="16" t="n">
        <f aca="false">IF(F27&gt;=90,1900+F27,2000+F27)</f>
        <v>2003</v>
      </c>
      <c r="H27" s="16" t="n">
        <f aca="false">Assumptions!$B$3-G27</f>
        <v>23</v>
      </c>
      <c r="I27" s="17" t="n">
        <v>30555.3</v>
      </c>
      <c r="J27" s="18" t="n">
        <f aca="false">I27/H27</f>
        <v>1328.49130434783</v>
      </c>
      <c r="K27" s="15" t="s">
        <v>53</v>
      </c>
      <c r="L27" s="15" t="s">
        <v>112</v>
      </c>
      <c r="M27" s="19" t="n">
        <v>100000</v>
      </c>
      <c r="N27" s="20" t="str">
        <f aca="false">IF(I27&lt;=M27,"COVERED","EXPIRED")</f>
        <v>COVERED</v>
      </c>
      <c r="O27" s="16" t="str">
        <f aca="false">B27&amp;TEXT(F27,"00")&amp;UPPER(LEFT(K27,3))&amp;D27&amp;RIGHT(A27,3)</f>
        <v>TY03BLACOR026</v>
      </c>
    </row>
    <row r="28" customFormat="false" ht="15" hidden="false" customHeight="false" outlineLevel="0" collapsed="false">
      <c r="A28" s="15" t="s">
        <v>114</v>
      </c>
      <c r="B28" s="15" t="s">
        <v>98</v>
      </c>
      <c r="C28" s="15" t="s">
        <v>99</v>
      </c>
      <c r="D28" s="15" t="s">
        <v>109</v>
      </c>
      <c r="E28" s="15" t="s">
        <v>110</v>
      </c>
      <c r="F28" s="15" t="n">
        <v>14</v>
      </c>
      <c r="G28" s="16" t="n">
        <f aca="false">IF(F28&gt;=90,1900+F28,2000+F28)</f>
        <v>2014</v>
      </c>
      <c r="H28" s="16" t="n">
        <f aca="false">Assumptions!$B$3-G28</f>
        <v>12</v>
      </c>
      <c r="I28" s="17" t="n">
        <v>22521.6</v>
      </c>
      <c r="J28" s="18" t="n">
        <f aca="false">I28/H28</f>
        <v>1876.8</v>
      </c>
      <c r="K28" s="15" t="s">
        <v>96</v>
      </c>
      <c r="L28" s="15" t="s">
        <v>73</v>
      </c>
      <c r="M28" s="19" t="n">
        <v>100000</v>
      </c>
      <c r="N28" s="20" t="str">
        <f aca="false">IF(I28&lt;=M28,"COVERED","EXPIRED")</f>
        <v>COVERED</v>
      </c>
      <c r="O28" s="16" t="str">
        <f aca="false">B28&amp;TEXT(F28,"00")&amp;UPPER(LEFT(K28,3))&amp;D28&amp;RIGHT(A28,3)</f>
        <v>TY14BLUCOR027</v>
      </c>
    </row>
    <row r="29" customFormat="false" ht="15" hidden="false" customHeight="false" outlineLevel="0" collapsed="false">
      <c r="A29" s="15" t="s">
        <v>115</v>
      </c>
      <c r="B29" s="15" t="s">
        <v>98</v>
      </c>
      <c r="C29" s="15" t="s">
        <v>99</v>
      </c>
      <c r="D29" s="15" t="s">
        <v>109</v>
      </c>
      <c r="E29" s="15" t="s">
        <v>110</v>
      </c>
      <c r="F29" s="15" t="n">
        <v>12</v>
      </c>
      <c r="G29" s="16" t="n">
        <f aca="false">IF(F29&gt;=90,1900+F29,2000+F29)</f>
        <v>2012</v>
      </c>
      <c r="H29" s="16" t="n">
        <f aca="false">Assumptions!$B$3-G29</f>
        <v>14</v>
      </c>
      <c r="I29" s="17" t="n">
        <v>44946.5</v>
      </c>
      <c r="J29" s="18" t="n">
        <f aca="false">I29/H29</f>
        <v>3210.46428571429</v>
      </c>
      <c r="K29" s="15" t="s">
        <v>53</v>
      </c>
      <c r="L29" s="15" t="s">
        <v>85</v>
      </c>
      <c r="M29" s="19" t="n">
        <v>100000</v>
      </c>
      <c r="N29" s="20" t="str">
        <f aca="false">IF(I29&lt;=M29,"COVERED","EXPIRED")</f>
        <v>COVERED</v>
      </c>
      <c r="O29" s="16" t="str">
        <f aca="false">B29&amp;TEXT(F29,"00")&amp;UPPER(LEFT(K29,3))&amp;D29&amp;RIGHT(A29,3)</f>
        <v>TY12BLACOR028</v>
      </c>
    </row>
    <row r="30" customFormat="false" ht="15" hidden="false" customHeight="false" outlineLevel="0" collapsed="false">
      <c r="A30" s="15" t="s">
        <v>116</v>
      </c>
      <c r="B30" s="15" t="s">
        <v>98</v>
      </c>
      <c r="C30" s="15" t="s">
        <v>99</v>
      </c>
      <c r="D30" s="15" t="s">
        <v>100</v>
      </c>
      <c r="E30" s="15" t="s">
        <v>101</v>
      </c>
      <c r="F30" s="15" t="n">
        <v>12</v>
      </c>
      <c r="G30" s="16" t="n">
        <f aca="false">IF(F30&gt;=90,1900+F30,2000+F30)</f>
        <v>2012</v>
      </c>
      <c r="H30" s="16" t="n">
        <f aca="false">Assumptions!$B$3-G30</f>
        <v>14</v>
      </c>
      <c r="I30" s="17" t="n">
        <v>52229.5</v>
      </c>
      <c r="J30" s="18" t="n">
        <f aca="false">I30/H30</f>
        <v>3730.67857142857</v>
      </c>
      <c r="K30" s="15" t="s">
        <v>96</v>
      </c>
      <c r="L30" s="15" t="s">
        <v>102</v>
      </c>
      <c r="M30" s="19" t="n">
        <v>100000</v>
      </c>
      <c r="N30" s="20" t="str">
        <f aca="false">IF(I30&lt;=M30,"COVERED","EXPIRED")</f>
        <v>COVERED</v>
      </c>
      <c r="O30" s="16" t="str">
        <f aca="false">B30&amp;TEXT(F30,"00")&amp;UPPER(LEFT(K30,3))&amp;D30&amp;RIGHT(A30,3)</f>
        <v>TY12BLUCAM029</v>
      </c>
    </row>
    <row r="31" customFormat="false" ht="15" hidden="false" customHeight="false" outlineLevel="0" collapsed="false">
      <c r="A31" s="15" t="s">
        <v>117</v>
      </c>
      <c r="B31" s="15" t="s">
        <v>118</v>
      </c>
      <c r="C31" s="15" t="s">
        <v>119</v>
      </c>
      <c r="D31" s="15" t="s">
        <v>120</v>
      </c>
      <c r="E31" s="15" t="s">
        <v>121</v>
      </c>
      <c r="F31" s="15" t="n">
        <v>99</v>
      </c>
      <c r="G31" s="16" t="n">
        <f aca="false">IF(F31&gt;=90,1900+F31,2000+F31)</f>
        <v>1999</v>
      </c>
      <c r="H31" s="16" t="n">
        <f aca="false">Assumptions!$B$3-G31</f>
        <v>27</v>
      </c>
      <c r="I31" s="17" t="n">
        <v>29601.9</v>
      </c>
      <c r="J31" s="18" t="n">
        <f aca="false">I31/H31</f>
        <v>1096.36666666667</v>
      </c>
      <c r="K31" s="15" t="s">
        <v>56</v>
      </c>
      <c r="L31" s="15" t="s">
        <v>79</v>
      </c>
      <c r="M31" s="19" t="n">
        <v>75000</v>
      </c>
      <c r="N31" s="20" t="str">
        <f aca="false">IF(I31&lt;=M31,"COVERED","EXPIRED")</f>
        <v>COVERED</v>
      </c>
      <c r="O31" s="16" t="str">
        <f aca="false">B31&amp;TEXT(F31,"00")&amp;UPPER(LEFT(K31,3))&amp;D31&amp;RIGHT(A31,3)</f>
        <v>HO99WHICIV030</v>
      </c>
    </row>
    <row r="32" customFormat="false" ht="15" hidden="false" customHeight="false" outlineLevel="0" collapsed="false">
      <c r="A32" s="15" t="s">
        <v>122</v>
      </c>
      <c r="B32" s="15" t="s">
        <v>118</v>
      </c>
      <c r="C32" s="15" t="s">
        <v>119</v>
      </c>
      <c r="D32" s="15" t="s">
        <v>120</v>
      </c>
      <c r="E32" s="15" t="s">
        <v>121</v>
      </c>
      <c r="F32" s="15" t="n">
        <v>1</v>
      </c>
      <c r="G32" s="16" t="n">
        <f aca="false">IF(F32&gt;=90,1900+F32,2000+F32)</f>
        <v>2001</v>
      </c>
      <c r="H32" s="16" t="n">
        <f aca="false">Assumptions!$B$3-G32</f>
        <v>25</v>
      </c>
      <c r="I32" s="17" t="n">
        <v>40326.8</v>
      </c>
      <c r="J32" s="18" t="n">
        <f aca="false">I32/H32</f>
        <v>1613.072</v>
      </c>
      <c r="K32" s="15" t="s">
        <v>96</v>
      </c>
      <c r="L32" s="15" t="s">
        <v>62</v>
      </c>
      <c r="M32" s="19" t="n">
        <v>75000</v>
      </c>
      <c r="N32" s="20" t="str">
        <f aca="false">IF(I32&lt;=M32,"COVERED","EXPIRED")</f>
        <v>COVERED</v>
      </c>
      <c r="O32" s="16" t="str">
        <f aca="false">B32&amp;TEXT(F32,"00")&amp;UPPER(LEFT(K32,3))&amp;D32&amp;RIGHT(A32,3)</f>
        <v>HO01BLUCIV031</v>
      </c>
    </row>
    <row r="33" customFormat="false" ht="15" hidden="false" customHeight="false" outlineLevel="0" collapsed="false">
      <c r="A33" s="15" t="s">
        <v>123</v>
      </c>
      <c r="B33" s="15" t="s">
        <v>118</v>
      </c>
      <c r="C33" s="15" t="s">
        <v>119</v>
      </c>
      <c r="D33" s="15" t="s">
        <v>120</v>
      </c>
      <c r="E33" s="15" t="s">
        <v>121</v>
      </c>
      <c r="F33" s="15" t="n">
        <v>10</v>
      </c>
      <c r="G33" s="16" t="n">
        <f aca="false">IF(F33&gt;=90,1900+F33,2000+F33)</f>
        <v>2010</v>
      </c>
      <c r="H33" s="16" t="n">
        <f aca="false">Assumptions!$B$3-G33</f>
        <v>16</v>
      </c>
      <c r="I33" s="17" t="n">
        <v>42074.2</v>
      </c>
      <c r="J33" s="18" t="n">
        <f aca="false">I33/H33</f>
        <v>2629.6375</v>
      </c>
      <c r="K33" s="15" t="s">
        <v>96</v>
      </c>
      <c r="L33" s="15" t="s">
        <v>89</v>
      </c>
      <c r="M33" s="19" t="n">
        <v>75000</v>
      </c>
      <c r="N33" s="20" t="str">
        <f aca="false">IF(I33&lt;=M33,"COVERED","EXPIRED")</f>
        <v>COVERED</v>
      </c>
      <c r="O33" s="16" t="str">
        <f aca="false">B33&amp;TEXT(F33,"00")&amp;UPPER(LEFT(K33,3))&amp;D33&amp;RIGHT(A33,3)</f>
        <v>HO10BLUCIV032</v>
      </c>
    </row>
    <row r="34" customFormat="false" ht="15" hidden="false" customHeight="false" outlineLevel="0" collapsed="false">
      <c r="A34" s="15" t="s">
        <v>124</v>
      </c>
      <c r="B34" s="15" t="s">
        <v>118</v>
      </c>
      <c r="C34" s="15" t="s">
        <v>119</v>
      </c>
      <c r="D34" s="15" t="s">
        <v>120</v>
      </c>
      <c r="E34" s="15" t="s">
        <v>121</v>
      </c>
      <c r="F34" s="15" t="n">
        <v>10</v>
      </c>
      <c r="G34" s="16" t="n">
        <f aca="false">IF(F34&gt;=90,1900+F34,2000+F34)</f>
        <v>2010</v>
      </c>
      <c r="H34" s="16" t="n">
        <f aca="false">Assumptions!$B$3-G34</f>
        <v>16</v>
      </c>
      <c r="I34" s="17" t="n">
        <v>44974.8</v>
      </c>
      <c r="J34" s="18" t="n">
        <f aca="false">I34/H34</f>
        <v>2810.925</v>
      </c>
      <c r="K34" s="15" t="s">
        <v>53</v>
      </c>
      <c r="L34" s="15" t="s">
        <v>104</v>
      </c>
      <c r="M34" s="19" t="n">
        <v>75000</v>
      </c>
      <c r="N34" s="20" t="str">
        <f aca="false">IF(I34&lt;=M34,"COVERED","EXPIRED")</f>
        <v>COVERED</v>
      </c>
      <c r="O34" s="16" t="str">
        <f aca="false">B34&amp;TEXT(F34,"00")&amp;UPPER(LEFT(K34,3))&amp;D34&amp;RIGHT(A34,3)</f>
        <v>HO10BLACIV033</v>
      </c>
    </row>
    <row r="35" customFormat="false" ht="15" hidden="false" customHeight="false" outlineLevel="0" collapsed="false">
      <c r="A35" s="15" t="s">
        <v>125</v>
      </c>
      <c r="B35" s="15" t="s">
        <v>118</v>
      </c>
      <c r="C35" s="15" t="s">
        <v>119</v>
      </c>
      <c r="D35" s="15" t="s">
        <v>120</v>
      </c>
      <c r="E35" s="15" t="s">
        <v>121</v>
      </c>
      <c r="F35" s="15" t="n">
        <v>11</v>
      </c>
      <c r="G35" s="16" t="n">
        <f aca="false">IF(F35&gt;=90,1900+F35,2000+F35)</f>
        <v>2011</v>
      </c>
      <c r="H35" s="16" t="n">
        <f aca="false">Assumptions!$B$3-G35</f>
        <v>15</v>
      </c>
      <c r="I35" s="17" t="n">
        <v>46311.4</v>
      </c>
      <c r="J35" s="18" t="n">
        <f aca="false">I35/H35</f>
        <v>3087.42666666667</v>
      </c>
      <c r="K35" s="15" t="s">
        <v>53</v>
      </c>
      <c r="L35" s="15" t="s">
        <v>60</v>
      </c>
      <c r="M35" s="19" t="n">
        <v>75000</v>
      </c>
      <c r="N35" s="20" t="str">
        <f aca="false">IF(I35&lt;=M35,"COVERED","EXPIRED")</f>
        <v>COVERED</v>
      </c>
      <c r="O35" s="16" t="str">
        <f aca="false">B35&amp;TEXT(F35,"00")&amp;UPPER(LEFT(K35,3))&amp;D35&amp;RIGHT(A35,3)</f>
        <v>HO11BLACIV034</v>
      </c>
    </row>
    <row r="36" customFormat="false" ht="15" hidden="false" customHeight="false" outlineLevel="0" collapsed="false">
      <c r="A36" s="15" t="s">
        <v>126</v>
      </c>
      <c r="B36" s="15" t="s">
        <v>118</v>
      </c>
      <c r="C36" s="15" t="s">
        <v>119</v>
      </c>
      <c r="D36" s="15" t="s">
        <v>120</v>
      </c>
      <c r="E36" s="15" t="s">
        <v>121</v>
      </c>
      <c r="F36" s="15" t="n">
        <v>12</v>
      </c>
      <c r="G36" s="16" t="n">
        <f aca="false">IF(F36&gt;=90,1900+F36,2000+F36)</f>
        <v>2012</v>
      </c>
      <c r="H36" s="16" t="n">
        <f aca="false">Assumptions!$B$3-G36</f>
        <v>14</v>
      </c>
      <c r="I36" s="17" t="n">
        <v>48114.2</v>
      </c>
      <c r="J36" s="18" t="n">
        <f aca="false">I36/H36</f>
        <v>3436.72857142857</v>
      </c>
      <c r="K36" s="15" t="s">
        <v>53</v>
      </c>
      <c r="L36" s="15" t="s">
        <v>93</v>
      </c>
      <c r="M36" s="19" t="n">
        <v>75000</v>
      </c>
      <c r="N36" s="20" t="str">
        <f aca="false">IF(I36&lt;=M36,"COVERED","EXPIRED")</f>
        <v>COVERED</v>
      </c>
      <c r="O36" s="16" t="str">
        <f aca="false">B36&amp;TEXT(F36,"00")&amp;UPPER(LEFT(K36,3))&amp;D36&amp;RIGHT(A36,3)</f>
        <v>HO12BLACIV035</v>
      </c>
    </row>
    <row r="37" customFormat="false" ht="15" hidden="false" customHeight="false" outlineLevel="0" collapsed="false">
      <c r="A37" s="15" t="s">
        <v>127</v>
      </c>
      <c r="B37" s="15" t="s">
        <v>118</v>
      </c>
      <c r="C37" s="15" t="s">
        <v>119</v>
      </c>
      <c r="D37" s="15" t="s">
        <v>120</v>
      </c>
      <c r="E37" s="15" t="s">
        <v>121</v>
      </c>
      <c r="F37" s="15" t="n">
        <v>13</v>
      </c>
      <c r="G37" s="16" t="n">
        <f aca="false">IF(F37&gt;=90,1900+F37,2000+F37)</f>
        <v>2013</v>
      </c>
      <c r="H37" s="16" t="n">
        <f aca="false">Assumptions!$B$3-G37</f>
        <v>13</v>
      </c>
      <c r="I37" s="17" t="n">
        <v>22128.2</v>
      </c>
      <c r="J37" s="18" t="n">
        <f aca="false">I37/H37</f>
        <v>1702.16923076923</v>
      </c>
      <c r="K37" s="15" t="s">
        <v>53</v>
      </c>
      <c r="L37" s="15" t="s">
        <v>102</v>
      </c>
      <c r="M37" s="19" t="n">
        <v>75000</v>
      </c>
      <c r="N37" s="20" t="str">
        <f aca="false">IF(I37&lt;=M37,"COVERED","EXPIRED")</f>
        <v>COVERED</v>
      </c>
      <c r="O37" s="16" t="str">
        <f aca="false">B37&amp;TEXT(F37,"00")&amp;UPPER(LEFT(K37,3))&amp;D37&amp;RIGHT(A37,3)</f>
        <v>HO13BLACIV036</v>
      </c>
    </row>
    <row r="38" customFormat="false" ht="15" hidden="false" customHeight="false" outlineLevel="0" collapsed="false">
      <c r="A38" s="15" t="s">
        <v>128</v>
      </c>
      <c r="B38" s="15" t="s">
        <v>118</v>
      </c>
      <c r="C38" s="15" t="s">
        <v>119</v>
      </c>
      <c r="D38" s="15" t="s">
        <v>129</v>
      </c>
      <c r="E38" s="15" t="s">
        <v>130</v>
      </c>
      <c r="F38" s="15" t="n">
        <v>5</v>
      </c>
      <c r="G38" s="16" t="n">
        <f aca="false">IF(F38&gt;=90,1900+F38,2000+F38)</f>
        <v>2005</v>
      </c>
      <c r="H38" s="16" t="n">
        <f aca="false">Assumptions!$B$3-G38</f>
        <v>21</v>
      </c>
      <c r="I38" s="17" t="n">
        <v>27394.2</v>
      </c>
      <c r="J38" s="18" t="n">
        <f aca="false">I38/H38</f>
        <v>1304.48571428571</v>
      </c>
      <c r="K38" s="15" t="s">
        <v>56</v>
      </c>
      <c r="L38" s="15" t="s">
        <v>70</v>
      </c>
      <c r="M38" s="19" t="n">
        <v>100000</v>
      </c>
      <c r="N38" s="20" t="str">
        <f aca="false">IF(I38&lt;=M38,"COVERED","EXPIRED")</f>
        <v>COVERED</v>
      </c>
      <c r="O38" s="16" t="str">
        <f aca="false">B38&amp;TEXT(F38,"00")&amp;UPPER(LEFT(K38,3))&amp;D38&amp;RIGHT(A38,3)</f>
        <v>HO05WHIODY037</v>
      </c>
    </row>
    <row r="39" customFormat="false" ht="15" hidden="false" customHeight="false" outlineLevel="0" collapsed="false">
      <c r="A39" s="15" t="s">
        <v>131</v>
      </c>
      <c r="B39" s="15" t="s">
        <v>118</v>
      </c>
      <c r="C39" s="15" t="s">
        <v>119</v>
      </c>
      <c r="D39" s="15" t="s">
        <v>129</v>
      </c>
      <c r="E39" s="15" t="s">
        <v>130</v>
      </c>
      <c r="F39" s="15" t="n">
        <v>7</v>
      </c>
      <c r="G39" s="16" t="n">
        <f aca="false">IF(F39&gt;=90,1900+F39,2000+F39)</f>
        <v>2007</v>
      </c>
      <c r="H39" s="16" t="n">
        <f aca="false">Assumptions!$B$3-G39</f>
        <v>19</v>
      </c>
      <c r="I39" s="17" t="n">
        <v>24513.2</v>
      </c>
      <c r="J39" s="18" t="n">
        <f aca="false">I39/H39</f>
        <v>1290.16842105263</v>
      </c>
      <c r="K39" s="15" t="s">
        <v>53</v>
      </c>
      <c r="L39" s="15" t="s">
        <v>104</v>
      </c>
      <c r="M39" s="19" t="n">
        <v>100000</v>
      </c>
      <c r="N39" s="20" t="str">
        <f aca="false">IF(I39&lt;=M39,"COVERED","EXPIRED")</f>
        <v>COVERED</v>
      </c>
      <c r="O39" s="16" t="str">
        <f aca="false">B39&amp;TEXT(F39,"00")&amp;UPPER(LEFT(K39,3))&amp;D39&amp;RIGHT(A39,3)</f>
        <v>HO07BLAODY038</v>
      </c>
    </row>
    <row r="40" customFormat="false" ht="15" hidden="false" customHeight="false" outlineLevel="0" collapsed="false">
      <c r="A40" s="15" t="s">
        <v>132</v>
      </c>
      <c r="B40" s="15" t="s">
        <v>118</v>
      </c>
      <c r="C40" s="15" t="s">
        <v>119</v>
      </c>
      <c r="D40" s="15" t="s">
        <v>129</v>
      </c>
      <c r="E40" s="15" t="s">
        <v>130</v>
      </c>
      <c r="F40" s="15" t="n">
        <v>8</v>
      </c>
      <c r="G40" s="16" t="n">
        <f aca="false">IF(F40&gt;=90,1900+F40,2000+F40)</f>
        <v>2008</v>
      </c>
      <c r="H40" s="16" t="n">
        <f aca="false">Assumptions!$B$3-G40</f>
        <v>18</v>
      </c>
      <c r="I40" s="17" t="n">
        <v>27534.8</v>
      </c>
      <c r="J40" s="18" t="n">
        <f aca="false">I40/H40</f>
        <v>1529.71111111111</v>
      </c>
      <c r="K40" s="15" t="s">
        <v>56</v>
      </c>
      <c r="L40" s="15" t="s">
        <v>79</v>
      </c>
      <c r="M40" s="19" t="n">
        <v>100000</v>
      </c>
      <c r="N40" s="20" t="str">
        <f aca="false">IF(I40&lt;=M40,"COVERED","EXPIRED")</f>
        <v>COVERED</v>
      </c>
      <c r="O40" s="16" t="str">
        <f aca="false">B40&amp;TEXT(F40,"00")&amp;UPPER(LEFT(K40,3))&amp;D40&amp;RIGHT(A40,3)</f>
        <v>HO08WHIODY039</v>
      </c>
    </row>
    <row r="41" customFormat="false" ht="15" hidden="false" customHeight="false" outlineLevel="0" collapsed="false">
      <c r="A41" s="15" t="s">
        <v>133</v>
      </c>
      <c r="B41" s="15" t="s">
        <v>118</v>
      </c>
      <c r="C41" s="15" t="s">
        <v>119</v>
      </c>
      <c r="D41" s="15" t="s">
        <v>129</v>
      </c>
      <c r="E41" s="15" t="s">
        <v>130</v>
      </c>
      <c r="F41" s="15" t="n">
        <v>1</v>
      </c>
      <c r="G41" s="16" t="n">
        <f aca="false">IF(F41&gt;=90,1900+F41,2000+F41)</f>
        <v>2001</v>
      </c>
      <c r="H41" s="16" t="n">
        <f aca="false">Assumptions!$B$3-G41</f>
        <v>25</v>
      </c>
      <c r="I41" s="17" t="n">
        <v>31144.4</v>
      </c>
      <c r="J41" s="18" t="n">
        <f aca="false">I41/H41</f>
        <v>1245.776</v>
      </c>
      <c r="K41" s="15" t="s">
        <v>53</v>
      </c>
      <c r="L41" s="15" t="s">
        <v>54</v>
      </c>
      <c r="M41" s="19" t="n">
        <v>100000</v>
      </c>
      <c r="N41" s="20" t="str">
        <f aca="false">IF(I41&lt;=M41,"COVERED","EXPIRED")</f>
        <v>COVERED</v>
      </c>
      <c r="O41" s="16" t="str">
        <f aca="false">B41&amp;TEXT(F41,"00")&amp;UPPER(LEFT(K41,3))&amp;D41&amp;RIGHT(A41,3)</f>
        <v>HO01BLAODY040</v>
      </c>
    </row>
    <row r="42" customFormat="false" ht="15" hidden="false" customHeight="false" outlineLevel="0" collapsed="false">
      <c r="A42" s="15" t="s">
        <v>134</v>
      </c>
      <c r="B42" s="15" t="s">
        <v>118</v>
      </c>
      <c r="C42" s="15" t="s">
        <v>119</v>
      </c>
      <c r="D42" s="15" t="s">
        <v>129</v>
      </c>
      <c r="E42" s="15" t="s">
        <v>130</v>
      </c>
      <c r="F42" s="15" t="n">
        <v>14</v>
      </c>
      <c r="G42" s="16" t="n">
        <f aca="false">IF(F42&gt;=90,1900+F42,2000+F42)</f>
        <v>2014</v>
      </c>
      <c r="H42" s="16" t="n">
        <f aca="false">Assumptions!$B$3-G42</f>
        <v>12</v>
      </c>
      <c r="I42" s="17" t="n">
        <v>33477.2</v>
      </c>
      <c r="J42" s="18" t="n">
        <f aca="false">I42/H42</f>
        <v>2789.76666666667</v>
      </c>
      <c r="K42" s="15" t="s">
        <v>53</v>
      </c>
      <c r="L42" s="15" t="s">
        <v>57</v>
      </c>
      <c r="M42" s="19" t="n">
        <v>100000</v>
      </c>
      <c r="N42" s="20" t="str">
        <f aca="false">IF(I42&lt;=M42,"COVERED","EXPIRED")</f>
        <v>COVERED</v>
      </c>
      <c r="O42" s="16" t="str">
        <f aca="false">B42&amp;TEXT(F42,"00")&amp;UPPER(LEFT(K42,3))&amp;D42&amp;RIGHT(A42,3)</f>
        <v>HO14BLAODY041</v>
      </c>
    </row>
    <row r="43" customFormat="false" ht="15" hidden="false" customHeight="false" outlineLevel="0" collapsed="false">
      <c r="A43" s="15" t="s">
        <v>135</v>
      </c>
      <c r="B43" s="15" t="s">
        <v>136</v>
      </c>
      <c r="C43" s="15" t="s">
        <v>137</v>
      </c>
      <c r="D43" s="15" t="s">
        <v>138</v>
      </c>
      <c r="E43" s="15" t="s">
        <v>139</v>
      </c>
      <c r="F43" s="15" t="n">
        <v>4</v>
      </c>
      <c r="G43" s="16" t="n">
        <f aca="false">IF(F43&gt;=90,1900+F43,2000+F43)</f>
        <v>2004</v>
      </c>
      <c r="H43" s="16" t="n">
        <f aca="false">Assumptions!$B$3-G43</f>
        <v>22</v>
      </c>
      <c r="I43" s="17" t="n">
        <v>22188.5</v>
      </c>
      <c r="J43" s="18" t="n">
        <f aca="false">I43/H43</f>
        <v>1008.56818181818</v>
      </c>
      <c r="K43" s="15" t="s">
        <v>96</v>
      </c>
      <c r="L43" s="15" t="s">
        <v>54</v>
      </c>
      <c r="M43" s="19" t="n">
        <v>75000</v>
      </c>
      <c r="N43" s="20" t="str">
        <f aca="false">IF(I43&lt;=M43,"COVERED","EXPIRED")</f>
        <v>COVERED</v>
      </c>
      <c r="O43" s="16" t="str">
        <f aca="false">B43&amp;TEXT(F43,"00")&amp;UPPER(LEFT(K43,3))&amp;D43&amp;RIGHT(A43,3)</f>
        <v>CR04BLUPTC042</v>
      </c>
    </row>
    <row r="44" customFormat="false" ht="15" hidden="false" customHeight="false" outlineLevel="0" collapsed="false">
      <c r="A44" s="15" t="s">
        <v>140</v>
      </c>
      <c r="B44" s="15" t="s">
        <v>136</v>
      </c>
      <c r="C44" s="15" t="s">
        <v>137</v>
      </c>
      <c r="D44" s="15" t="s">
        <v>138</v>
      </c>
      <c r="E44" s="15" t="s">
        <v>139</v>
      </c>
      <c r="F44" s="15" t="n">
        <v>7</v>
      </c>
      <c r="G44" s="16" t="n">
        <f aca="false">IF(F44&gt;=90,1900+F44,2000+F44)</f>
        <v>2007</v>
      </c>
      <c r="H44" s="16" t="n">
        <f aca="false">Assumptions!$B$3-G44</f>
        <v>19</v>
      </c>
      <c r="I44" s="17" t="n">
        <v>13682.9</v>
      </c>
      <c r="J44" s="18" t="n">
        <f aca="false">I44/H44</f>
        <v>720.152631578947</v>
      </c>
      <c r="K44" s="15" t="s">
        <v>59</v>
      </c>
      <c r="L44" s="15" t="s">
        <v>112</v>
      </c>
      <c r="M44" s="19" t="n">
        <v>75000</v>
      </c>
      <c r="N44" s="20" t="str">
        <f aca="false">IF(I44&lt;=M44,"COVERED","EXPIRED")</f>
        <v>COVERED</v>
      </c>
      <c r="O44" s="16" t="str">
        <f aca="false">B44&amp;TEXT(F44,"00")&amp;UPPER(LEFT(K44,3))&amp;D44&amp;RIGHT(A44,3)</f>
        <v>CR07GREPTC043</v>
      </c>
    </row>
    <row r="45" customFormat="false" ht="15" hidden="false" customHeight="false" outlineLevel="0" collapsed="false">
      <c r="A45" s="15" t="s">
        <v>141</v>
      </c>
      <c r="B45" s="15" t="s">
        <v>136</v>
      </c>
      <c r="C45" s="15" t="s">
        <v>137</v>
      </c>
      <c r="D45" s="15" t="s">
        <v>138</v>
      </c>
      <c r="E45" s="15" t="s">
        <v>139</v>
      </c>
      <c r="F45" s="15" t="n">
        <v>11</v>
      </c>
      <c r="G45" s="16" t="n">
        <f aca="false">IF(F45&gt;=90,1900+F45,2000+F45)</f>
        <v>2011</v>
      </c>
      <c r="H45" s="16" t="n">
        <f aca="false">Assumptions!$B$3-G45</f>
        <v>15</v>
      </c>
      <c r="I45" s="17" t="n">
        <v>22282</v>
      </c>
      <c r="J45" s="18" t="n">
        <f aca="false">I45/H45</f>
        <v>1485.46666666667</v>
      </c>
      <c r="K45" s="15" t="s">
        <v>53</v>
      </c>
      <c r="L45" s="15" t="s">
        <v>77</v>
      </c>
      <c r="M45" s="19" t="n">
        <v>75000</v>
      </c>
      <c r="N45" s="20" t="str">
        <f aca="false">IF(I45&lt;=M45,"COVERED","EXPIRED")</f>
        <v>COVERED</v>
      </c>
      <c r="O45" s="16" t="str">
        <f aca="false">B45&amp;TEXT(F45,"00")&amp;UPPER(LEFT(K45,3))&amp;D45&amp;RIGHT(A45,3)</f>
        <v>CR11BLAPTC044</v>
      </c>
    </row>
    <row r="46" customFormat="false" ht="15" hidden="false" customHeight="false" outlineLevel="0" collapsed="false">
      <c r="A46" s="15" t="s">
        <v>142</v>
      </c>
      <c r="B46" s="15" t="s">
        <v>136</v>
      </c>
      <c r="C46" s="15" t="s">
        <v>137</v>
      </c>
      <c r="D46" s="15" t="s">
        <v>143</v>
      </c>
      <c r="E46" s="15" t="s">
        <v>101</v>
      </c>
      <c r="F46" s="15" t="n">
        <v>99</v>
      </c>
      <c r="G46" s="16" t="n">
        <f aca="false">IF(F46&gt;=90,1900+F46,2000+F46)</f>
        <v>1999</v>
      </c>
      <c r="H46" s="16" t="n">
        <f aca="false">Assumptions!$B$3-G46</f>
        <v>27</v>
      </c>
      <c r="I46" s="17" t="n">
        <v>13867.6</v>
      </c>
      <c r="J46" s="18" t="n">
        <f aca="false">I46/H46</f>
        <v>513.614814814815</v>
      </c>
      <c r="K46" s="15" t="s">
        <v>59</v>
      </c>
      <c r="L46" s="15" t="s">
        <v>93</v>
      </c>
      <c r="M46" s="19" t="n">
        <v>75000</v>
      </c>
      <c r="N46" s="20" t="str">
        <f aca="false">IF(I46&lt;=M46,"COVERED","EXPIRED")</f>
        <v>COVERED</v>
      </c>
      <c r="O46" s="16" t="str">
        <f aca="false">B46&amp;TEXT(F46,"00")&amp;UPPER(LEFT(K46,3))&amp;D46&amp;RIGHT(A46,3)</f>
        <v>CR99GRECAR045</v>
      </c>
    </row>
    <row r="47" customFormat="false" ht="15" hidden="false" customHeight="false" outlineLevel="0" collapsed="false">
      <c r="A47" s="15" t="s">
        <v>144</v>
      </c>
      <c r="B47" s="15" t="s">
        <v>136</v>
      </c>
      <c r="C47" s="15" t="s">
        <v>137</v>
      </c>
      <c r="D47" s="15" t="s">
        <v>143</v>
      </c>
      <c r="E47" s="15" t="s">
        <v>101</v>
      </c>
      <c r="F47" s="15" t="n">
        <v>0</v>
      </c>
      <c r="G47" s="16" t="n">
        <f aca="false">IF(F47&gt;=90,1900+F47,2000+F47)</f>
        <v>2000</v>
      </c>
      <c r="H47" s="16" t="n">
        <f aca="false">Assumptions!$B$3-G47</f>
        <v>26</v>
      </c>
      <c r="I47" s="17" t="n">
        <v>14289.6</v>
      </c>
      <c r="J47" s="18" t="n">
        <f aca="false">I47/H47</f>
        <v>549.6</v>
      </c>
      <c r="K47" s="15" t="s">
        <v>53</v>
      </c>
      <c r="L47" s="15" t="s">
        <v>62</v>
      </c>
      <c r="M47" s="19" t="n">
        <v>75000</v>
      </c>
      <c r="N47" s="20" t="str">
        <f aca="false">IF(I47&lt;=M47,"COVERED","EXPIRED")</f>
        <v>COVERED</v>
      </c>
      <c r="O47" s="16" t="str">
        <f aca="false">B47&amp;TEXT(F47,"00")&amp;UPPER(LEFT(K47,3))&amp;D47&amp;RIGHT(A47,3)</f>
        <v>CR00BLACAR046</v>
      </c>
    </row>
    <row r="48" customFormat="false" ht="15" hidden="false" customHeight="false" outlineLevel="0" collapsed="false">
      <c r="A48" s="15" t="s">
        <v>145</v>
      </c>
      <c r="B48" s="15" t="s">
        <v>136</v>
      </c>
      <c r="C48" s="15" t="s">
        <v>137</v>
      </c>
      <c r="D48" s="15" t="s">
        <v>143</v>
      </c>
      <c r="E48" s="15" t="s">
        <v>101</v>
      </c>
      <c r="F48" s="15" t="n">
        <v>4</v>
      </c>
      <c r="G48" s="16" t="n">
        <f aca="false">IF(F48&gt;=90,1900+F48,2000+F48)</f>
        <v>2004</v>
      </c>
      <c r="H48" s="16" t="n">
        <f aca="false">Assumptions!$B$3-G48</f>
        <v>22</v>
      </c>
      <c r="I48" s="17" t="n">
        <v>22573</v>
      </c>
      <c r="J48" s="18" t="n">
        <f aca="false">I48/H48</f>
        <v>1026.04545454545</v>
      </c>
      <c r="K48" s="15" t="s">
        <v>56</v>
      </c>
      <c r="L48" s="15" t="s">
        <v>87</v>
      </c>
      <c r="M48" s="19" t="n">
        <v>75000</v>
      </c>
      <c r="N48" s="20" t="str">
        <f aca="false">IF(I48&lt;=M48,"COVERED","EXPIRED")</f>
        <v>COVERED</v>
      </c>
      <c r="O48" s="16" t="str">
        <f aca="false">B48&amp;TEXT(F48,"00")&amp;UPPER(LEFT(K48,3))&amp;D48&amp;RIGHT(A48,3)</f>
        <v>CR04WHICAR047</v>
      </c>
    </row>
    <row r="49" customFormat="false" ht="15" hidden="false" customHeight="false" outlineLevel="0" collapsed="false">
      <c r="A49" s="15" t="s">
        <v>146</v>
      </c>
      <c r="B49" s="15" t="s">
        <v>136</v>
      </c>
      <c r="C49" s="15" t="s">
        <v>137</v>
      </c>
      <c r="D49" s="15" t="s">
        <v>143</v>
      </c>
      <c r="E49" s="15" t="s">
        <v>101</v>
      </c>
      <c r="F49" s="15" t="n">
        <v>4</v>
      </c>
      <c r="G49" s="16" t="n">
        <f aca="false">IF(F49&gt;=90,1900+F49,2000+F49)</f>
        <v>2004</v>
      </c>
      <c r="H49" s="16" t="n">
        <f aca="false">Assumptions!$B$3-G49</f>
        <v>22</v>
      </c>
      <c r="I49" s="17" t="n">
        <v>19341.7</v>
      </c>
      <c r="J49" s="18" t="n">
        <f aca="false">I49/H49</f>
        <v>879.168181818182</v>
      </c>
      <c r="K49" s="15" t="s">
        <v>111</v>
      </c>
      <c r="L49" s="15" t="s">
        <v>87</v>
      </c>
      <c r="M49" s="19" t="n">
        <v>75000</v>
      </c>
      <c r="N49" s="20" t="str">
        <f aca="false">IF(I49&lt;=M49,"COVERED","EXPIRED")</f>
        <v>COVERED</v>
      </c>
      <c r="O49" s="16" t="str">
        <f aca="false">B49&amp;TEXT(F49,"00")&amp;UPPER(LEFT(K49,3))&amp;D49&amp;RIGHT(A49,3)</f>
        <v>CR04REDCAR048</v>
      </c>
    </row>
    <row r="50" customFormat="false" ht="15" hidden="false" customHeight="false" outlineLevel="0" collapsed="false">
      <c r="A50" s="15" t="s">
        <v>147</v>
      </c>
      <c r="B50" s="15" t="s">
        <v>148</v>
      </c>
      <c r="C50" s="15" t="s">
        <v>149</v>
      </c>
      <c r="D50" s="15" t="s">
        <v>150</v>
      </c>
      <c r="E50" s="15" t="s">
        <v>151</v>
      </c>
      <c r="F50" s="15" t="n">
        <v>11</v>
      </c>
      <c r="G50" s="16" t="n">
        <f aca="false">IF(F50&gt;=90,1900+F50,2000+F50)</f>
        <v>2011</v>
      </c>
      <c r="H50" s="16" t="n">
        <f aca="false">Assumptions!$B$3-G50</f>
        <v>15</v>
      </c>
      <c r="I50" s="17" t="n">
        <v>17556.3</v>
      </c>
      <c r="J50" s="18" t="n">
        <f aca="false">I50/H50</f>
        <v>1170.42</v>
      </c>
      <c r="K50" s="15" t="s">
        <v>53</v>
      </c>
      <c r="L50" s="15" t="s">
        <v>89</v>
      </c>
      <c r="M50" s="19" t="n">
        <v>100000</v>
      </c>
      <c r="N50" s="20" t="str">
        <f aca="false">IF(I50&lt;=M50,"COVERED","EXPIRED")</f>
        <v>COVERED</v>
      </c>
      <c r="O50" s="16" t="str">
        <f aca="false">B50&amp;TEXT(F50,"00")&amp;UPPER(LEFT(K50,3))&amp;D50&amp;RIGHT(A50,3)</f>
        <v>HY11BLAELA049</v>
      </c>
    </row>
    <row r="51" customFormat="false" ht="15" hidden="false" customHeight="false" outlineLevel="0" collapsed="false">
      <c r="A51" s="15" t="s">
        <v>152</v>
      </c>
      <c r="B51" s="15" t="s">
        <v>148</v>
      </c>
      <c r="C51" s="15" t="s">
        <v>149</v>
      </c>
      <c r="D51" s="15" t="s">
        <v>150</v>
      </c>
      <c r="E51" s="15" t="s">
        <v>151</v>
      </c>
      <c r="F51" s="15" t="n">
        <v>12</v>
      </c>
      <c r="G51" s="16" t="n">
        <f aca="false">IF(F51&gt;=90,1900+F51,2000+F51)</f>
        <v>2012</v>
      </c>
      <c r="H51" s="16" t="n">
        <f aca="false">Assumptions!$B$3-G51</f>
        <v>14</v>
      </c>
      <c r="I51" s="17" t="n">
        <v>20223.9</v>
      </c>
      <c r="J51" s="18" t="n">
        <f aca="false">I51/H51</f>
        <v>1444.56428571429</v>
      </c>
      <c r="K51" s="15" t="s">
        <v>96</v>
      </c>
      <c r="L51" s="15" t="s">
        <v>57</v>
      </c>
      <c r="M51" s="19" t="n">
        <v>100000</v>
      </c>
      <c r="N51" s="20" t="str">
        <f aca="false">IF(I51&lt;=M51,"COVERED","EXPIRED")</f>
        <v>COVERED</v>
      </c>
      <c r="O51" s="16" t="str">
        <f aca="false">B51&amp;TEXT(F51,"00")&amp;UPPER(LEFT(K51,3))&amp;D51&amp;RIGHT(A51,3)</f>
        <v>HY12BLUELA050</v>
      </c>
    </row>
    <row r="52" customFormat="false" ht="15" hidden="false" customHeight="false" outlineLevel="0" collapsed="false">
      <c r="A52" s="15" t="s">
        <v>153</v>
      </c>
      <c r="B52" s="15" t="s">
        <v>148</v>
      </c>
      <c r="C52" s="15" t="s">
        <v>149</v>
      </c>
      <c r="D52" s="15" t="s">
        <v>150</v>
      </c>
      <c r="E52" s="15" t="s">
        <v>151</v>
      </c>
      <c r="F52" s="15" t="n">
        <v>13</v>
      </c>
      <c r="G52" s="16" t="n">
        <f aca="false">IF(F52&gt;=90,1900+F52,2000+F52)</f>
        <v>2013</v>
      </c>
      <c r="H52" s="16" t="n">
        <f aca="false">Assumptions!$B$3-G52</f>
        <v>13</v>
      </c>
      <c r="I52" s="17" t="n">
        <v>19421.1</v>
      </c>
      <c r="J52" s="18" t="n">
        <f aca="false">I52/H52</f>
        <v>1493.93076923077</v>
      </c>
      <c r="K52" s="15" t="s">
        <v>53</v>
      </c>
      <c r="L52" s="15" t="s">
        <v>73</v>
      </c>
      <c r="M52" s="19" t="n">
        <v>100000</v>
      </c>
      <c r="N52" s="20" t="str">
        <f aca="false">IF(I52&lt;=M52,"COVERED","EXPIRED")</f>
        <v>COVERED</v>
      </c>
      <c r="O52" s="16" t="str">
        <f aca="false">B52&amp;TEXT(F52,"00")&amp;UPPER(LEFT(K52,3))&amp;D52&amp;RIGHT(A52,3)</f>
        <v>HY13BLAELA051</v>
      </c>
    </row>
    <row r="53" customFormat="false" ht="15" hidden="false" customHeight="false" outlineLevel="0" collapsed="false">
      <c r="A53" s="15" t="s">
        <v>154</v>
      </c>
      <c r="B53" s="15" t="s">
        <v>148</v>
      </c>
      <c r="C53" s="15" t="s">
        <v>149</v>
      </c>
      <c r="D53" s="15" t="s">
        <v>150</v>
      </c>
      <c r="E53" s="15" t="s">
        <v>151</v>
      </c>
      <c r="F53" s="15" t="n">
        <v>13</v>
      </c>
      <c r="G53" s="16" t="n">
        <f aca="false">IF(F53&gt;=90,1900+F53,2000+F53)</f>
        <v>2013</v>
      </c>
      <c r="H53" s="16" t="n">
        <f aca="false">Assumptions!$B$3-G53</f>
        <v>13</v>
      </c>
      <c r="I53" s="17" t="n">
        <v>3708.1</v>
      </c>
      <c r="J53" s="18" t="n">
        <f aca="false">I53/H53</f>
        <v>285.238461538462</v>
      </c>
      <c r="K53" s="15" t="s">
        <v>96</v>
      </c>
      <c r="L53" s="15" t="s">
        <v>67</v>
      </c>
      <c r="M53" s="19" t="n">
        <v>100000</v>
      </c>
      <c r="N53" s="20" t="str">
        <f aca="false">IF(I53&lt;=M53,"COVERED","EXPIRED")</f>
        <v>COVERED</v>
      </c>
      <c r="O53" s="16" t="str">
        <f aca="false">B53&amp;TEXT(F53,"00")&amp;UPPER(LEFT(K53,3))&amp;D53&amp;RIGHT(A53,3)</f>
        <v>HY13BLUELA052</v>
      </c>
    </row>
  </sheetData>
  <conditionalFormatting sqref="N2:N53">
    <cfRule type="cellIs" priority="2" operator="equal" aboveAverage="0" equalAverage="0" bottom="0" percent="0" rank="0" text="" dxfId="7">
      <formula>"EXPIRED"</formula>
    </cfRule>
    <cfRule type="cellIs" priority="3" operator="equal" aboveAverage="0" equalAverage="0" bottom="0" percent="0" rank="0" text="" dxfId="8">
      <formula>"COVERED"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0"/>
  </cols>
  <sheetData>
    <row r="1" customFormat="false" ht="26.85" hidden="false" customHeight="false" outlineLevel="0" collapsed="false">
      <c r="A1" s="14" t="s">
        <v>34</v>
      </c>
      <c r="B1" s="14" t="s">
        <v>155</v>
      </c>
      <c r="C1" s="14" t="s">
        <v>156</v>
      </c>
      <c r="D1" s="14" t="s">
        <v>157</v>
      </c>
      <c r="E1" s="14" t="s">
        <v>158</v>
      </c>
      <c r="F1" s="14" t="s">
        <v>30</v>
      </c>
      <c r="G1" s="14" t="s">
        <v>159</v>
      </c>
      <c r="H1" s="14" t="s">
        <v>160</v>
      </c>
      <c r="I1" s="14" t="s">
        <v>161</v>
      </c>
    </row>
    <row r="2" customFormat="false" ht="15" hidden="false" customHeight="false" outlineLevel="0" collapsed="false">
      <c r="A2" s="21" t="s">
        <v>137</v>
      </c>
      <c r="B2" s="21" t="n">
        <f aca="false">COUNTIF('Cleaned Data'!$C$2:$C$53,A2)</f>
        <v>7</v>
      </c>
      <c r="C2" s="22" t="n">
        <f aca="false">SUMIF('Cleaned Data'!$C$2:$C$53,A2,'Cleaned Data'!$I$2:$I$53)</f>
        <v>128225.3</v>
      </c>
      <c r="D2" s="22" t="n">
        <f aca="false">AVERAGEIF('Cleaned Data'!$C$2:$C$53,A2,'Cleaned Data'!$I$2:$I$53)</f>
        <v>18317.9</v>
      </c>
      <c r="E2" s="23" t="n">
        <f aca="false">AVERAGEIF('Cleaned Data'!$C$2:$C$53,A2,'Cleaned Data'!$H$2:$H$53)</f>
        <v>21.8571428571429</v>
      </c>
      <c r="F2" s="22" t="n">
        <f aca="false">AVERAGEIF('Cleaned Data'!$C$2:$C$53,A2,'Cleaned Data'!$J$2:$J$53)</f>
        <v>883.230847320321</v>
      </c>
      <c r="G2" s="21" t="n">
        <f aca="false">COUNTIFS('Cleaned Data'!$C$2:$C$53,A2,'Cleaned Data'!$N$2:$N$53,"COVERED")</f>
        <v>7</v>
      </c>
      <c r="H2" s="21" t="n">
        <f aca="false">COUNTIFS('Cleaned Data'!$C$2:$C$53,A2,'Cleaned Data'!$N$2:$N$53,"EXPIRED")</f>
        <v>0</v>
      </c>
      <c r="I2" s="24" t="n">
        <f aca="false">H2/B2</f>
        <v>0</v>
      </c>
    </row>
    <row r="3" customFormat="false" ht="15" hidden="false" customHeight="false" outlineLevel="0" collapsed="false">
      <c r="A3" s="21" t="s">
        <v>50</v>
      </c>
      <c r="B3" s="21" t="n">
        <f aca="false">COUNTIF('Cleaned Data'!$C$2:$C$53,A3)</f>
        <v>13</v>
      </c>
      <c r="C3" s="22" t="n">
        <f aca="false">SUMIF('Cleaned Data'!$C$2:$C$53,A3,'Cleaned Data'!$I$2:$I$53)</f>
        <v>1013959.4</v>
      </c>
      <c r="D3" s="22" t="n">
        <f aca="false">AVERAGEIF('Cleaned Data'!$C$2:$C$53,A3,'Cleaned Data'!$I$2:$I$53)</f>
        <v>77996.8769230769</v>
      </c>
      <c r="E3" s="23" t="n">
        <f aca="false">AVERAGEIF('Cleaned Data'!$C$2:$C$53,A3,'Cleaned Data'!$H$2:$H$53)</f>
        <v>16.6923076923077</v>
      </c>
      <c r="F3" s="22" t="n">
        <f aca="false">AVERAGEIF('Cleaned Data'!$C$2:$C$53,A3,'Cleaned Data'!$J$2:$J$53)</f>
        <v>4849.94801772386</v>
      </c>
      <c r="G3" s="21" t="n">
        <f aca="false">COUNTIFS('Cleaned Data'!$C$2:$C$53,A3,'Cleaned Data'!$N$2:$N$53,"COVERED")</f>
        <v>3</v>
      </c>
      <c r="H3" s="21" t="n">
        <f aca="false">COUNTIFS('Cleaned Data'!$C$2:$C$53,A3,'Cleaned Data'!$N$2:$N$53,"EXPIRED")</f>
        <v>10</v>
      </c>
      <c r="I3" s="24" t="n">
        <f aca="false">H3/B3</f>
        <v>0.769230769230769</v>
      </c>
    </row>
    <row r="4" customFormat="false" ht="15" hidden="false" customHeight="false" outlineLevel="0" collapsed="false">
      <c r="A4" s="21" t="s">
        <v>82</v>
      </c>
      <c r="B4" s="21" t="n">
        <f aca="false">COUNTIF('Cleaned Data'!$C$2:$C$53,A4)</f>
        <v>6</v>
      </c>
      <c r="C4" s="22" t="n">
        <f aca="false">SUMIF('Cleaned Data'!$C$2:$C$53,A4,'Cleaned Data'!$I$2:$I$53)</f>
        <v>351345.1</v>
      </c>
      <c r="D4" s="22" t="n">
        <f aca="false">AVERAGEIF('Cleaned Data'!$C$2:$C$53,A4,'Cleaned Data'!$I$2:$I$53)</f>
        <v>58557.5166666667</v>
      </c>
      <c r="E4" s="23" t="n">
        <f aca="false">AVERAGEIF('Cleaned Data'!$C$2:$C$53,A4,'Cleaned Data'!$H$2:$H$53)</f>
        <v>18.8333333333333</v>
      </c>
      <c r="F4" s="22" t="n">
        <f aca="false">AVERAGEIF('Cleaned Data'!$C$2:$C$53,A4,'Cleaned Data'!$J$2:$J$53)</f>
        <v>3639.03375215471</v>
      </c>
      <c r="G4" s="21" t="n">
        <f aca="false">COUNTIFS('Cleaned Data'!$C$2:$C$53,A4,'Cleaned Data'!$N$2:$N$53,"COVERED")</f>
        <v>6</v>
      </c>
      <c r="H4" s="21" t="n">
        <f aca="false">COUNTIFS('Cleaned Data'!$C$2:$C$53,A4,'Cleaned Data'!$N$2:$N$53,"EXPIRED")</f>
        <v>0</v>
      </c>
      <c r="I4" s="24" t="n">
        <f aca="false">H4/B4</f>
        <v>0</v>
      </c>
    </row>
    <row r="5" customFormat="false" ht="15" hidden="false" customHeight="false" outlineLevel="0" collapsed="false">
      <c r="A5" s="21" t="s">
        <v>119</v>
      </c>
      <c r="B5" s="21" t="n">
        <f aca="false">COUNTIF('Cleaned Data'!$C$2:$C$53,A5)</f>
        <v>12</v>
      </c>
      <c r="C5" s="22" t="n">
        <f aca="false">SUMIF('Cleaned Data'!$C$2:$C$53,A5,'Cleaned Data'!$I$2:$I$53)</f>
        <v>417595.3</v>
      </c>
      <c r="D5" s="22" t="n">
        <f aca="false">AVERAGEIF('Cleaned Data'!$C$2:$C$53,A5,'Cleaned Data'!$I$2:$I$53)</f>
        <v>34799.6083333333</v>
      </c>
      <c r="E5" s="23" t="n">
        <f aca="false">AVERAGEIF('Cleaned Data'!$C$2:$C$53,A5,'Cleaned Data'!$H$2:$H$53)</f>
        <v>18.4166666666667</v>
      </c>
      <c r="F5" s="22" t="n">
        <f aca="false">AVERAGEIF('Cleaned Data'!$C$2:$C$53,A5,'Cleaned Data'!$J$2:$J$53)</f>
        <v>2044.68612905394</v>
      </c>
      <c r="G5" s="21" t="n">
        <f aca="false">COUNTIFS('Cleaned Data'!$C$2:$C$53,A5,'Cleaned Data'!$N$2:$N$53,"COVERED")</f>
        <v>12</v>
      </c>
      <c r="H5" s="21" t="n">
        <f aca="false">COUNTIFS('Cleaned Data'!$C$2:$C$53,A5,'Cleaned Data'!$N$2:$N$53,"EXPIRED")</f>
        <v>0</v>
      </c>
      <c r="I5" s="24" t="n">
        <f aca="false">H5/B5</f>
        <v>0</v>
      </c>
    </row>
    <row r="6" customFormat="false" ht="15" hidden="false" customHeight="false" outlineLevel="0" collapsed="false">
      <c r="A6" s="21" t="s">
        <v>149</v>
      </c>
      <c r="B6" s="21" t="n">
        <f aca="false">COUNTIF('Cleaned Data'!$C$2:$C$53,A6)</f>
        <v>4</v>
      </c>
      <c r="C6" s="22" t="n">
        <f aca="false">SUMIF('Cleaned Data'!$C$2:$C$53,A6,'Cleaned Data'!$I$2:$I$53)</f>
        <v>60909.4</v>
      </c>
      <c r="D6" s="22" t="n">
        <f aca="false">AVERAGEIF('Cleaned Data'!$C$2:$C$53,A6,'Cleaned Data'!$I$2:$I$53)</f>
        <v>15227.35</v>
      </c>
      <c r="E6" s="23" t="n">
        <f aca="false">AVERAGEIF('Cleaned Data'!$C$2:$C$53,A6,'Cleaned Data'!$H$2:$H$53)</f>
        <v>13.75</v>
      </c>
      <c r="F6" s="22" t="n">
        <f aca="false">AVERAGEIF('Cleaned Data'!$C$2:$C$53,A6,'Cleaned Data'!$J$2:$J$53)</f>
        <v>1098.53837912088</v>
      </c>
      <c r="G6" s="21" t="n">
        <f aca="false">COUNTIFS('Cleaned Data'!$C$2:$C$53,A6,'Cleaned Data'!$N$2:$N$53,"COVERED")</f>
        <v>4</v>
      </c>
      <c r="H6" s="21" t="n">
        <f aca="false">COUNTIFS('Cleaned Data'!$C$2:$C$53,A6,'Cleaned Data'!$N$2:$N$53,"EXPIRED")</f>
        <v>0</v>
      </c>
      <c r="I6" s="24" t="n">
        <f aca="false">H6/B6</f>
        <v>0</v>
      </c>
    </row>
    <row r="7" customFormat="false" ht="15" hidden="false" customHeight="false" outlineLevel="0" collapsed="false">
      <c r="A7" s="21" t="s">
        <v>99</v>
      </c>
      <c r="B7" s="21" t="n">
        <f aca="false">COUNTIF('Cleaned Data'!$C$2:$C$53,A7)</f>
        <v>10</v>
      </c>
      <c r="C7" s="22" t="n">
        <f aca="false">SUMIF('Cleaned Data'!$C$2:$C$53,A7,'Cleaned Data'!$I$2:$I$53)</f>
        <v>363952.8</v>
      </c>
      <c r="D7" s="22" t="n">
        <f aca="false">AVERAGEIF('Cleaned Data'!$C$2:$C$53,A7,'Cleaned Data'!$I$2:$I$53)</f>
        <v>36395.28</v>
      </c>
      <c r="E7" s="23" t="n">
        <f aca="false">AVERAGEIF('Cleaned Data'!$C$2:$C$53,A7,'Cleaned Data'!$H$2:$H$53)</f>
        <v>21.2</v>
      </c>
      <c r="F7" s="22" t="n">
        <f aca="false">AVERAGEIF('Cleaned Data'!$C$2:$C$53,A7,'Cleaned Data'!$J$2:$J$53)</f>
        <v>1928.87011217363</v>
      </c>
      <c r="G7" s="21" t="n">
        <f aca="false">COUNTIFS('Cleaned Data'!$C$2:$C$53,A7,'Cleaned Data'!$N$2:$N$53,"COVERED")</f>
        <v>10</v>
      </c>
      <c r="H7" s="21" t="n">
        <f aca="false">COUNTIFS('Cleaned Data'!$C$2:$C$53,A7,'Cleaned Data'!$N$2:$N$53,"EXPIRED")</f>
        <v>0</v>
      </c>
      <c r="I7" s="24" t="n">
        <f aca="false">H7/B7</f>
        <v>0</v>
      </c>
    </row>
    <row r="8" customFormat="false" ht="15" hidden="false" customHeight="false" outlineLevel="0" collapsed="false">
      <c r="A8" s="2" t="s">
        <v>162</v>
      </c>
      <c r="B8" s="2" t="n">
        <f aca="false">SUM(B2:B7)</f>
        <v>52</v>
      </c>
      <c r="C8" s="25" t="n">
        <f aca="false">SUM(C2:C7)</f>
        <v>2335987.3</v>
      </c>
      <c r="D8" s="25" t="n">
        <f aca="false">AVERAGE('Cleaned Data'!$I$2:$I$53)</f>
        <v>44922.8326923077</v>
      </c>
      <c r="E8" s="26" t="n">
        <f aca="false">AVERAGE('Cleaned Data'!$H$2:$H$53)</f>
        <v>18.6730769230769</v>
      </c>
      <c r="F8" s="25" t="n">
        <f aca="false">AVERAGE('Cleaned Data'!$J$2:$J$53)</f>
        <v>2678.56213195092</v>
      </c>
      <c r="G8" s="2" t="n">
        <f aca="false">SUM(G2:G7)</f>
        <v>42</v>
      </c>
      <c r="H8" s="2" t="n">
        <f aca="false">SUM(H2:H7)</f>
        <v>10</v>
      </c>
      <c r="I8" s="27" t="n">
        <f aca="false">H8/B8</f>
        <v>0.192307692307692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14" t="s">
        <v>34</v>
      </c>
      <c r="B1" s="14" t="s">
        <v>36</v>
      </c>
      <c r="C1" s="14" t="s">
        <v>155</v>
      </c>
      <c r="D1" s="14" t="s">
        <v>156</v>
      </c>
      <c r="E1" s="14" t="s">
        <v>157</v>
      </c>
      <c r="F1" s="14" t="s">
        <v>158</v>
      </c>
      <c r="G1" s="14" t="s">
        <v>30</v>
      </c>
      <c r="H1" s="14" t="s">
        <v>160</v>
      </c>
    </row>
    <row r="2" customFormat="false" ht="15" hidden="false" customHeight="false" outlineLevel="0" collapsed="false">
      <c r="A2" s="21" t="s">
        <v>137</v>
      </c>
      <c r="B2" s="21" t="s">
        <v>101</v>
      </c>
      <c r="C2" s="21" t="n">
        <f aca="false">COUNTIFS('Cleaned Data'!$C$2:$C$53,A2,'Cleaned Data'!$E$2:$E$53,B2)</f>
        <v>4</v>
      </c>
      <c r="D2" s="22" t="n">
        <f aca="false">SUMIFS('Cleaned Data'!$I$2:$I$53,'Cleaned Data'!$C$2:$C$53,A2,'Cleaned Data'!$E$2:$E$53,B2)</f>
        <v>70071.9</v>
      </c>
      <c r="E2" s="22" t="n">
        <f aca="false">IFERROR(AVERAGEIFS('Cleaned Data'!$I$2:$I$53,'Cleaned Data'!$C$2:$C$53,A2,'Cleaned Data'!$E$2:$E$53,B2),0)</f>
        <v>17517.975</v>
      </c>
      <c r="F2" s="23" t="n">
        <f aca="false">IFERROR(AVERAGEIFS('Cleaned Data'!$H$2:$H$53,'Cleaned Data'!$C$2:$C$53,A2,'Cleaned Data'!$E$2:$E$53,B2),0)</f>
        <v>24.25</v>
      </c>
      <c r="G2" s="22" t="n">
        <f aca="false">IFERROR(AVERAGEIFS('Cleaned Data'!$J$2:$J$53,'Cleaned Data'!$C$2:$C$53,A2,'Cleaned Data'!$E$2:$E$53,B2),0)</f>
        <v>742.107112794613</v>
      </c>
      <c r="H2" s="21" t="n">
        <f aca="false">COUNTIFS('Cleaned Data'!$C$2:$C$53,A2,'Cleaned Data'!$E$2:$E$53,B2,'Cleaned Data'!$N$2:$N$53,"EXPIRED")</f>
        <v>0</v>
      </c>
    </row>
    <row r="3" customFormat="false" ht="15" hidden="false" customHeight="false" outlineLevel="0" collapsed="false">
      <c r="A3" s="21" t="s">
        <v>137</v>
      </c>
      <c r="B3" s="21" t="s">
        <v>139</v>
      </c>
      <c r="C3" s="21" t="n">
        <f aca="false">COUNTIFS('Cleaned Data'!$C$2:$C$53,A3,'Cleaned Data'!$E$2:$E$53,B3)</f>
        <v>3</v>
      </c>
      <c r="D3" s="22" t="n">
        <f aca="false">SUMIFS('Cleaned Data'!$I$2:$I$53,'Cleaned Data'!$C$2:$C$53,A3,'Cleaned Data'!$E$2:$E$53,B3)</f>
        <v>58153.4</v>
      </c>
      <c r="E3" s="22" t="n">
        <f aca="false">IFERROR(AVERAGEIFS('Cleaned Data'!$I$2:$I$53,'Cleaned Data'!$C$2:$C$53,A3,'Cleaned Data'!$E$2:$E$53,B3),0)</f>
        <v>19384.4666666667</v>
      </c>
      <c r="F3" s="23" t="n">
        <f aca="false">IFERROR(AVERAGEIFS('Cleaned Data'!$H$2:$H$53,'Cleaned Data'!$C$2:$C$53,A3,'Cleaned Data'!$E$2:$E$53,B3),0)</f>
        <v>18.6666666666667</v>
      </c>
      <c r="G3" s="22" t="n">
        <f aca="false">IFERROR(AVERAGEIFS('Cleaned Data'!$J$2:$J$53,'Cleaned Data'!$C$2:$C$53,A3,'Cleaned Data'!$E$2:$E$53,B3),0)</f>
        <v>1071.39582668793</v>
      </c>
      <c r="H3" s="21" t="n">
        <f aca="false">COUNTIFS('Cleaned Data'!$C$2:$C$53,A3,'Cleaned Data'!$E$2:$E$53,B3,'Cleaned Data'!$N$2:$N$53,"EXPIRED")</f>
        <v>0</v>
      </c>
    </row>
    <row r="4" customFormat="false" ht="15" hidden="false" customHeight="false" outlineLevel="0" collapsed="false">
      <c r="A4" s="21" t="s">
        <v>50</v>
      </c>
      <c r="B4" s="21" t="s">
        <v>66</v>
      </c>
      <c r="C4" s="21" t="n">
        <f aca="false">COUNTIFS('Cleaned Data'!$C$2:$C$53,A4,'Cleaned Data'!$E$2:$E$53,B4)</f>
        <v>8</v>
      </c>
      <c r="D4" s="22" t="n">
        <f aca="false">SUMIFS('Cleaned Data'!$I$2:$I$53,'Cleaned Data'!$C$2:$C$53,A4,'Cleaned Data'!$E$2:$E$53,B4)</f>
        <v>616839.2</v>
      </c>
      <c r="E4" s="22" t="n">
        <f aca="false">IFERROR(AVERAGEIFS('Cleaned Data'!$I$2:$I$53,'Cleaned Data'!$C$2:$C$53,A4,'Cleaned Data'!$E$2:$E$53,B4),0)</f>
        <v>77104.9</v>
      </c>
      <c r="F4" s="23" t="n">
        <f aca="false">IFERROR(AVERAGEIFS('Cleaned Data'!$H$2:$H$53,'Cleaned Data'!$C$2:$C$53,A4,'Cleaned Data'!$E$2:$E$53,B4),0)</f>
        <v>15.375</v>
      </c>
      <c r="G4" s="22" t="n">
        <f aca="false">IFERROR(AVERAGEIFS('Cleaned Data'!$J$2:$J$53,'Cleaned Data'!$C$2:$C$53,A4,'Cleaned Data'!$E$2:$E$53,B4),0)</f>
        <v>5254.01483435682</v>
      </c>
      <c r="H4" s="21" t="n">
        <f aca="false">COUNTIFS('Cleaned Data'!$C$2:$C$53,A4,'Cleaned Data'!$E$2:$E$53,B4,'Cleaned Data'!$N$2:$N$53,"EXPIRED")</f>
        <v>5</v>
      </c>
    </row>
    <row r="5" customFormat="false" ht="15" hidden="false" customHeight="false" outlineLevel="0" collapsed="false">
      <c r="A5" s="21" t="s">
        <v>50</v>
      </c>
      <c r="B5" s="21" t="s">
        <v>52</v>
      </c>
      <c r="C5" s="21" t="n">
        <f aca="false">COUNTIFS('Cleaned Data'!$C$2:$C$53,A5,'Cleaned Data'!$E$2:$E$53,B5)</f>
        <v>5</v>
      </c>
      <c r="D5" s="22" t="n">
        <f aca="false">SUMIFS('Cleaned Data'!$I$2:$I$53,'Cleaned Data'!$C$2:$C$53,A5,'Cleaned Data'!$E$2:$E$53,B5)</f>
        <v>397120.2</v>
      </c>
      <c r="E5" s="22" t="n">
        <f aca="false">IFERROR(AVERAGEIFS('Cleaned Data'!$I$2:$I$53,'Cleaned Data'!$C$2:$C$53,A5,'Cleaned Data'!$E$2:$E$53,B5),0)</f>
        <v>79424.04</v>
      </c>
      <c r="F5" s="23" t="n">
        <f aca="false">IFERROR(AVERAGEIFS('Cleaned Data'!$H$2:$H$53,'Cleaned Data'!$C$2:$C$53,A5,'Cleaned Data'!$E$2:$E$53,B5),0)</f>
        <v>18.8</v>
      </c>
      <c r="G5" s="22" t="n">
        <f aca="false">IFERROR(AVERAGEIFS('Cleaned Data'!$J$2:$J$53,'Cleaned Data'!$C$2:$C$53,A5,'Cleaned Data'!$E$2:$E$53,B5),0)</f>
        <v>4203.44111111111</v>
      </c>
      <c r="H5" s="21" t="n">
        <f aca="false">COUNTIFS('Cleaned Data'!$C$2:$C$53,A5,'Cleaned Data'!$E$2:$E$53,B5,'Cleaned Data'!$N$2:$N$53,"EXPIRED")</f>
        <v>5</v>
      </c>
    </row>
    <row r="6" customFormat="false" ht="15" hidden="false" customHeight="false" outlineLevel="0" collapsed="false">
      <c r="A6" s="21" t="s">
        <v>82</v>
      </c>
      <c r="B6" s="21" t="s">
        <v>84</v>
      </c>
      <c r="C6" s="21" t="n">
        <f aca="false">COUNTIFS('Cleaned Data'!$C$2:$C$53,A6,'Cleaned Data'!$E$2:$E$53,B6)</f>
        <v>3</v>
      </c>
      <c r="D6" s="22" t="n">
        <f aca="false">SUMIFS('Cleaned Data'!$I$2:$I$53,'Cleaned Data'!$C$2:$C$53,A6,'Cleaned Data'!$E$2:$E$53,B6)</f>
        <v>224648.4</v>
      </c>
      <c r="E6" s="22" t="n">
        <f aca="false">IFERROR(AVERAGEIFS('Cleaned Data'!$I$2:$I$53,'Cleaned Data'!$C$2:$C$53,A6,'Cleaned Data'!$E$2:$E$53,B6),0)</f>
        <v>74882.8</v>
      </c>
      <c r="F6" s="23" t="n">
        <f aca="false">IFERROR(AVERAGEIFS('Cleaned Data'!$H$2:$H$53,'Cleaned Data'!$C$2:$C$53,A6,'Cleaned Data'!$E$2:$E$53,B6),0)</f>
        <v>14.3333333333333</v>
      </c>
      <c r="G6" s="22" t="n">
        <f aca="false">IFERROR(AVERAGEIFS('Cleaned Data'!$J$2:$J$53,'Cleaned Data'!$C$2:$C$53,A6,'Cleaned Data'!$E$2:$E$53,B6),0)</f>
        <v>5265.87450980392</v>
      </c>
      <c r="H6" s="21" t="n">
        <f aca="false">COUNTIFS('Cleaned Data'!$C$2:$C$53,A6,'Cleaned Data'!$E$2:$E$53,B6,'Cleaned Data'!$N$2:$N$53,"EXPIRED")</f>
        <v>0</v>
      </c>
    </row>
    <row r="7" customFormat="false" ht="15" hidden="false" customHeight="false" outlineLevel="0" collapsed="false">
      <c r="A7" s="21" t="s">
        <v>82</v>
      </c>
      <c r="B7" s="21" t="s">
        <v>92</v>
      </c>
      <c r="C7" s="21" t="n">
        <f aca="false">COUNTIFS('Cleaned Data'!$C$2:$C$53,A7,'Cleaned Data'!$E$2:$E$53,B7)</f>
        <v>3</v>
      </c>
      <c r="D7" s="22" t="n">
        <f aca="false">SUMIFS('Cleaned Data'!$I$2:$I$53,'Cleaned Data'!$C$2:$C$53,A7,'Cleaned Data'!$E$2:$E$53,B7)</f>
        <v>126696.7</v>
      </c>
      <c r="E7" s="22" t="n">
        <f aca="false">IFERROR(AVERAGEIFS('Cleaned Data'!$I$2:$I$53,'Cleaned Data'!$C$2:$C$53,A7,'Cleaned Data'!$E$2:$E$53,B7),0)</f>
        <v>42232.2333333333</v>
      </c>
      <c r="F7" s="23" t="n">
        <f aca="false">IFERROR(AVERAGEIFS('Cleaned Data'!$H$2:$H$53,'Cleaned Data'!$C$2:$C$53,A7,'Cleaned Data'!$E$2:$E$53,B7),0)</f>
        <v>23.3333333333333</v>
      </c>
      <c r="G7" s="22" t="n">
        <f aca="false">IFERROR(AVERAGEIFS('Cleaned Data'!$J$2:$J$53,'Cleaned Data'!$C$2:$C$53,A7,'Cleaned Data'!$E$2:$E$53,B7),0)</f>
        <v>2012.19299450549</v>
      </c>
      <c r="H7" s="21" t="n">
        <f aca="false">COUNTIFS('Cleaned Data'!$C$2:$C$53,A7,'Cleaned Data'!$E$2:$E$53,B7,'Cleaned Data'!$N$2:$N$53,"EXPIRED")</f>
        <v>0</v>
      </c>
    </row>
    <row r="8" customFormat="false" ht="15" hidden="false" customHeight="false" outlineLevel="0" collapsed="false">
      <c r="A8" s="21" t="s">
        <v>119</v>
      </c>
      <c r="B8" s="21" t="s">
        <v>121</v>
      </c>
      <c r="C8" s="21" t="n">
        <f aca="false">COUNTIFS('Cleaned Data'!$C$2:$C$53,A8,'Cleaned Data'!$E$2:$E$53,B8)</f>
        <v>7</v>
      </c>
      <c r="D8" s="22" t="n">
        <f aca="false">SUMIFS('Cleaned Data'!$I$2:$I$53,'Cleaned Data'!$C$2:$C$53,A8,'Cleaned Data'!$E$2:$E$53,B8)</f>
        <v>273531.5</v>
      </c>
      <c r="E8" s="22" t="n">
        <f aca="false">IFERROR(AVERAGEIFS('Cleaned Data'!$I$2:$I$53,'Cleaned Data'!$C$2:$C$53,A8,'Cleaned Data'!$E$2:$E$53,B8),0)</f>
        <v>39075.9285714286</v>
      </c>
      <c r="F8" s="23" t="n">
        <f aca="false">IFERROR(AVERAGEIFS('Cleaned Data'!$H$2:$H$53,'Cleaned Data'!$C$2:$C$53,A8,'Cleaned Data'!$E$2:$E$53,B8),0)</f>
        <v>18</v>
      </c>
      <c r="G8" s="22" t="n">
        <f aca="false">IFERROR(AVERAGEIFS('Cleaned Data'!$J$2:$J$53,'Cleaned Data'!$C$2:$C$53,A8,'Cleaned Data'!$E$2:$E$53,B8),0)</f>
        <v>2339.47509079016</v>
      </c>
      <c r="H8" s="21" t="n">
        <f aca="false">COUNTIFS('Cleaned Data'!$C$2:$C$53,A8,'Cleaned Data'!$E$2:$E$53,B8,'Cleaned Data'!$N$2:$N$53,"EXPIRED")</f>
        <v>0</v>
      </c>
    </row>
    <row r="9" customFormat="false" ht="15" hidden="false" customHeight="false" outlineLevel="0" collapsed="false">
      <c r="A9" s="21" t="s">
        <v>119</v>
      </c>
      <c r="B9" s="21" t="s">
        <v>130</v>
      </c>
      <c r="C9" s="21" t="n">
        <f aca="false">COUNTIFS('Cleaned Data'!$C$2:$C$53,A9,'Cleaned Data'!$E$2:$E$53,B9)</f>
        <v>5</v>
      </c>
      <c r="D9" s="22" t="n">
        <f aca="false">SUMIFS('Cleaned Data'!$I$2:$I$53,'Cleaned Data'!$C$2:$C$53,A9,'Cleaned Data'!$E$2:$E$53,B9)</f>
        <v>144063.8</v>
      </c>
      <c r="E9" s="22" t="n">
        <f aca="false">IFERROR(AVERAGEIFS('Cleaned Data'!$I$2:$I$53,'Cleaned Data'!$C$2:$C$53,A9,'Cleaned Data'!$E$2:$E$53,B9),0)</f>
        <v>28812.76</v>
      </c>
      <c r="F9" s="23" t="n">
        <f aca="false">IFERROR(AVERAGEIFS('Cleaned Data'!$H$2:$H$53,'Cleaned Data'!$C$2:$C$53,A9,'Cleaned Data'!$E$2:$E$53,B9),0)</f>
        <v>19</v>
      </c>
      <c r="G9" s="22" t="n">
        <f aca="false">IFERROR(AVERAGEIFS('Cleaned Data'!$J$2:$J$53,'Cleaned Data'!$C$2:$C$53,A9,'Cleaned Data'!$E$2:$E$53,B9),0)</f>
        <v>1631.98158262322</v>
      </c>
      <c r="H9" s="21" t="n">
        <f aca="false">COUNTIFS('Cleaned Data'!$C$2:$C$53,A9,'Cleaned Data'!$E$2:$E$53,B9,'Cleaned Data'!$N$2:$N$53,"EXPIRED")</f>
        <v>0</v>
      </c>
    </row>
    <row r="10" customFormat="false" ht="15" hidden="false" customHeight="false" outlineLevel="0" collapsed="false">
      <c r="A10" s="21" t="s">
        <v>149</v>
      </c>
      <c r="B10" s="21" t="s">
        <v>151</v>
      </c>
      <c r="C10" s="21" t="n">
        <f aca="false">COUNTIFS('Cleaned Data'!$C$2:$C$53,A10,'Cleaned Data'!$E$2:$E$53,B10)</f>
        <v>4</v>
      </c>
      <c r="D10" s="22" t="n">
        <f aca="false">SUMIFS('Cleaned Data'!$I$2:$I$53,'Cleaned Data'!$C$2:$C$53,A10,'Cleaned Data'!$E$2:$E$53,B10)</f>
        <v>60909.4</v>
      </c>
      <c r="E10" s="22" t="n">
        <f aca="false">IFERROR(AVERAGEIFS('Cleaned Data'!$I$2:$I$53,'Cleaned Data'!$C$2:$C$53,A10,'Cleaned Data'!$E$2:$E$53,B10),0)</f>
        <v>15227.35</v>
      </c>
      <c r="F10" s="23" t="n">
        <f aca="false">IFERROR(AVERAGEIFS('Cleaned Data'!$H$2:$H$53,'Cleaned Data'!$C$2:$C$53,A10,'Cleaned Data'!$E$2:$E$53,B10),0)</f>
        <v>13.75</v>
      </c>
      <c r="G10" s="22" t="n">
        <f aca="false">IFERROR(AVERAGEIFS('Cleaned Data'!$J$2:$J$53,'Cleaned Data'!$C$2:$C$53,A10,'Cleaned Data'!$E$2:$E$53,B10),0)</f>
        <v>1098.53837912088</v>
      </c>
      <c r="H10" s="21" t="n">
        <f aca="false">COUNTIFS('Cleaned Data'!$C$2:$C$53,A10,'Cleaned Data'!$E$2:$E$53,B10,'Cleaned Data'!$N$2:$N$53,"EXPIRED")</f>
        <v>0</v>
      </c>
    </row>
    <row r="11" customFormat="false" ht="15" hidden="false" customHeight="false" outlineLevel="0" collapsed="false">
      <c r="A11" s="21" t="s">
        <v>99</v>
      </c>
      <c r="B11" s="21" t="s">
        <v>101</v>
      </c>
      <c r="C11" s="21" t="n">
        <f aca="false">COUNTIFS('Cleaned Data'!$C$2:$C$53,A11,'Cleaned Data'!$E$2:$E$53,B11)</f>
        <v>6</v>
      </c>
      <c r="D11" s="22" t="n">
        <f aca="false">SUMIFS('Cleaned Data'!$I$2:$I$53,'Cleaned Data'!$C$2:$C$53,A11,'Cleaned Data'!$E$2:$E$53,B11)</f>
        <v>236827.1</v>
      </c>
      <c r="E11" s="22" t="n">
        <f aca="false">IFERROR(AVERAGEIFS('Cleaned Data'!$I$2:$I$53,'Cleaned Data'!$C$2:$C$53,A11,'Cleaned Data'!$E$2:$E$53,B11),0)</f>
        <v>39471.1833333333</v>
      </c>
      <c r="F11" s="23" t="n">
        <f aca="false">IFERROR(AVERAGEIFS('Cleaned Data'!$H$2:$H$53,'Cleaned Data'!$C$2:$C$53,A11,'Cleaned Data'!$E$2:$E$53,B11),0)</f>
        <v>23.1666666666667</v>
      </c>
      <c r="G11" s="22" t="n">
        <f aca="false">IFERROR(AVERAGEIFS('Cleaned Data'!$J$2:$J$53,'Cleaned Data'!$C$2:$C$53,A11,'Cleaned Data'!$E$2:$E$53,B11),0)</f>
        <v>1943.39161639015</v>
      </c>
      <c r="H11" s="21" t="n">
        <f aca="false">COUNTIFS('Cleaned Data'!$C$2:$C$53,A11,'Cleaned Data'!$E$2:$E$53,B11,'Cleaned Data'!$N$2:$N$53,"EXPIRED")</f>
        <v>0</v>
      </c>
    </row>
    <row r="12" customFormat="false" ht="15" hidden="false" customHeight="false" outlineLevel="0" collapsed="false">
      <c r="A12" s="21" t="s">
        <v>99</v>
      </c>
      <c r="B12" s="21" t="s">
        <v>110</v>
      </c>
      <c r="C12" s="21" t="n">
        <f aca="false">COUNTIFS('Cleaned Data'!$C$2:$C$53,A12,'Cleaned Data'!$E$2:$E$53,B12)</f>
        <v>4</v>
      </c>
      <c r="D12" s="22" t="n">
        <f aca="false">SUMIFS('Cleaned Data'!$I$2:$I$53,'Cleaned Data'!$C$2:$C$53,A12,'Cleaned Data'!$E$2:$E$53,B12)</f>
        <v>127125.7</v>
      </c>
      <c r="E12" s="22" t="n">
        <f aca="false">IFERROR(AVERAGEIFS('Cleaned Data'!$I$2:$I$53,'Cleaned Data'!$C$2:$C$53,A12,'Cleaned Data'!$E$2:$E$53,B12),0)</f>
        <v>31781.425</v>
      </c>
      <c r="F12" s="23" t="n">
        <f aca="false">IFERROR(AVERAGEIFS('Cleaned Data'!$H$2:$H$53,'Cleaned Data'!$C$2:$C$53,A12,'Cleaned Data'!$E$2:$E$53,B12),0)</f>
        <v>18.25</v>
      </c>
      <c r="G12" s="22" t="n">
        <f aca="false">IFERROR(AVERAGEIFS('Cleaned Data'!$J$2:$J$53,'Cleaned Data'!$C$2:$C$53,A12,'Cleaned Data'!$E$2:$E$53,B12),0)</f>
        <v>1907.08785584886</v>
      </c>
      <c r="H12" s="21" t="n">
        <f aca="false">COUNTIFS('Cleaned Data'!$C$2:$C$53,A12,'Cleaned Data'!$E$2:$E$53,B12,'Cleaned Data'!$N$2:$N$53,"EXPIRED")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28" t="s">
        <v>163</v>
      </c>
    </row>
    <row r="3" customFormat="false" ht="15" hidden="false" customHeight="false" outlineLevel="0" collapsed="false">
      <c r="A3" s="29" t="s">
        <v>164</v>
      </c>
      <c r="B3" s="29" t="s">
        <v>155</v>
      </c>
      <c r="C3" s="29" t="s">
        <v>165</v>
      </c>
    </row>
    <row r="4" customFormat="false" ht="15" hidden="false" customHeight="false" outlineLevel="0" collapsed="false">
      <c r="A4" s="21" t="s">
        <v>166</v>
      </c>
      <c r="B4" s="21" t="n">
        <f aca="false">COUNTIF('Cleaned Data'!$N$2:$N$53,"COVERED")</f>
        <v>42</v>
      </c>
      <c r="C4" s="24" t="n">
        <f aca="false">B4/52</f>
        <v>0.807692307692308</v>
      </c>
    </row>
    <row r="5" customFormat="false" ht="15" hidden="false" customHeight="false" outlineLevel="0" collapsed="false">
      <c r="A5" s="21" t="s">
        <v>167</v>
      </c>
      <c r="B5" s="21" t="n">
        <f aca="false">COUNTIF('Cleaned Data'!$N$2:$N$53,"EXPIRED")</f>
        <v>10</v>
      </c>
      <c r="C5" s="24" t="n">
        <f aca="false">B5/52</f>
        <v>0.192307692307692</v>
      </c>
    </row>
    <row r="7" customFormat="false" ht="15" hidden="false" customHeight="false" outlineLevel="0" collapsed="false">
      <c r="A7" s="28" t="s">
        <v>168</v>
      </c>
    </row>
    <row r="9" customFormat="false" ht="15" hidden="false" customHeight="false" outlineLevel="0" collapsed="false">
      <c r="A9" s="29" t="s">
        <v>43</v>
      </c>
      <c r="B9" s="29" t="s">
        <v>155</v>
      </c>
      <c r="C9" s="29" t="s">
        <v>165</v>
      </c>
    </row>
    <row r="10" customFormat="false" ht="15" hidden="false" customHeight="false" outlineLevel="0" collapsed="false">
      <c r="A10" s="21" t="s">
        <v>53</v>
      </c>
      <c r="B10" s="21" t="n">
        <f aca="false">COUNTIF('Cleaned Data'!$K$2:$K$53,A10)</f>
        <v>24</v>
      </c>
      <c r="C10" s="24" t="n">
        <f aca="false">B10/52</f>
        <v>0.461538461538462</v>
      </c>
    </row>
    <row r="11" customFormat="false" ht="15" hidden="false" customHeight="false" outlineLevel="0" collapsed="false">
      <c r="A11" s="21" t="s">
        <v>96</v>
      </c>
      <c r="B11" s="21" t="n">
        <f aca="false">COUNTIF('Cleaned Data'!$K$2:$K$53,A11)</f>
        <v>8</v>
      </c>
      <c r="C11" s="24" t="n">
        <f aca="false">B11/52</f>
        <v>0.153846153846154</v>
      </c>
    </row>
    <row r="12" customFormat="false" ht="15" hidden="false" customHeight="false" outlineLevel="0" collapsed="false">
      <c r="A12" s="21" t="s">
        <v>59</v>
      </c>
      <c r="B12" s="21" t="n">
        <f aca="false">COUNTIF('Cleaned Data'!$K$2:$K$53,A12)</f>
        <v>7</v>
      </c>
      <c r="C12" s="24" t="n">
        <f aca="false">B12/52</f>
        <v>0.134615384615385</v>
      </c>
    </row>
    <row r="13" customFormat="false" ht="15" hidden="false" customHeight="false" outlineLevel="0" collapsed="false">
      <c r="A13" s="21" t="s">
        <v>111</v>
      </c>
      <c r="B13" s="21" t="n">
        <f aca="false">COUNTIF('Cleaned Data'!$K$2:$K$53,A13)</f>
        <v>2</v>
      </c>
      <c r="C13" s="24" t="n">
        <f aca="false">B13/52</f>
        <v>0.0384615384615385</v>
      </c>
    </row>
    <row r="14" customFormat="false" ht="15" hidden="false" customHeight="false" outlineLevel="0" collapsed="false">
      <c r="A14" s="21" t="s">
        <v>56</v>
      </c>
      <c r="B14" s="21" t="n">
        <f aca="false">COUNTIF('Cleaned Data'!$K$2:$K$53,A14)</f>
        <v>11</v>
      </c>
      <c r="C14" s="24" t="n">
        <f aca="false">B14/52</f>
        <v>0.211538461538462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2026-07-21T19:11:42Z</dcterms:created>
  <dc:creator>openpyxl</dc:creator>
  <dc:description/>
  <dc:language>en-US</dc:language>
  <cp:lastModifiedBy/>
  <dcterms:modified xsi:type="dcterms:W3CDTF">2026-07-21T19:12:04Z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